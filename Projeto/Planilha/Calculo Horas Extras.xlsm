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date1904="1"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cer\Desktop\Calcular Folha de Ponto\CALCULAR HE FOLHA DE PONTO-DP\"/>
    </mc:Choice>
  </mc:AlternateContent>
  <xr:revisionPtr revIDLastSave="0" documentId="13_ncr:1_{F3CE93E2-B2C1-4DA8-AAB2-37E34C6B474C}" xr6:coauthVersionLast="47" xr6:coauthVersionMax="47" xr10:uidLastSave="{00000000-0000-0000-0000-000000000000}"/>
  <bookViews>
    <workbookView xWindow="-108" yWindow="-108" windowWidth="23256" windowHeight="12456" xr2:uid="{5E2330B7-74A0-4F93-B78D-07E64BAF952E}"/>
  </bookViews>
  <sheets>
    <sheet name="BD" sheetId="6" r:id="rId1"/>
    <sheet name="CALC ADIC Noturno" sheetId="3" r:id="rId2"/>
  </sheets>
  <definedNames>
    <definedName name="_xleta.MOD" hidden="1" xlm="1">#NAME?</definedName>
    <definedName name="hora_final">'CALC ADIC Noturno'!$X$6</definedName>
    <definedName name="hora_inicial">'CALC ADIC Noturno'!$X$5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3" l="1"/>
  <c r="L16" i="3"/>
  <c r="L17" i="3"/>
  <c r="L18" i="3"/>
  <c r="L21" i="3"/>
  <c r="L22" i="3"/>
  <c r="L23" i="3"/>
  <c r="L27" i="3"/>
  <c r="L31" i="3"/>
  <c r="L32" i="3"/>
  <c r="L33" i="3"/>
  <c r="L34" i="3"/>
  <c r="L35" i="3"/>
  <c r="L37" i="3"/>
  <c r="L38" i="3"/>
  <c r="L39" i="3"/>
  <c r="L14" i="3"/>
  <c r="B10" i="3"/>
  <c r="L10" i="3" s="1"/>
  <c r="B11" i="3"/>
  <c r="L11" i="3" s="1"/>
  <c r="B12" i="3"/>
  <c r="L12" i="3" s="1"/>
  <c r="B13" i="3"/>
  <c r="L13" i="3" s="1"/>
  <c r="B14" i="3"/>
  <c r="B15" i="3"/>
  <c r="B16" i="3"/>
  <c r="B17" i="3"/>
  <c r="B18" i="3"/>
  <c r="B19" i="3"/>
  <c r="L19" i="3" s="1"/>
  <c r="B20" i="3"/>
  <c r="L20" i="3" s="1"/>
  <c r="B21" i="3"/>
  <c r="B22" i="3"/>
  <c r="B23" i="3"/>
  <c r="B24" i="3"/>
  <c r="L24" i="3" s="1"/>
  <c r="B25" i="3"/>
  <c r="L25" i="3" s="1"/>
  <c r="B26" i="3"/>
  <c r="L26" i="3" s="1"/>
  <c r="B27" i="3"/>
  <c r="B28" i="3"/>
  <c r="L28" i="3" s="1"/>
  <c r="B29" i="3"/>
  <c r="L29" i="3" s="1"/>
  <c r="B30" i="3"/>
  <c r="L30" i="3" s="1"/>
  <c r="B31" i="3"/>
  <c r="B32" i="3"/>
  <c r="B33" i="3"/>
  <c r="B34" i="3"/>
  <c r="B35" i="3"/>
  <c r="B36" i="3"/>
  <c r="L36" i="3" s="1"/>
  <c r="B37" i="3"/>
  <c r="B38" i="3"/>
  <c r="B39" i="3"/>
  <c r="A10" i="3"/>
  <c r="E10" i="3" s="1"/>
  <c r="A11" i="3"/>
  <c r="E11" i="3" s="1"/>
  <c r="A12" i="3"/>
  <c r="H12" i="3" s="1"/>
  <c r="A13" i="3"/>
  <c r="O13" i="3" s="1"/>
  <c r="A14" i="3"/>
  <c r="E14" i="3" s="1"/>
  <c r="A15" i="3"/>
  <c r="D15" i="3" s="1"/>
  <c r="A16" i="3"/>
  <c r="D16" i="3" s="1"/>
  <c r="A17" i="3"/>
  <c r="D17" i="3" s="1"/>
  <c r="A18" i="3"/>
  <c r="E18" i="3" s="1"/>
  <c r="A19" i="3"/>
  <c r="E19" i="3" s="1"/>
  <c r="A20" i="3"/>
  <c r="E20" i="3" s="1"/>
  <c r="A21" i="3"/>
  <c r="E21" i="3" s="1"/>
  <c r="A22" i="3"/>
  <c r="D22" i="3" s="1"/>
  <c r="A23" i="3"/>
  <c r="D23" i="3" s="1"/>
  <c r="A24" i="3"/>
  <c r="E24" i="3" s="1"/>
  <c r="A25" i="3"/>
  <c r="D25" i="3" s="1"/>
  <c r="A26" i="3"/>
  <c r="D26" i="3" s="1"/>
  <c r="A27" i="3"/>
  <c r="D27" i="3" s="1"/>
  <c r="A28" i="3"/>
  <c r="D28" i="3" s="1"/>
  <c r="A29" i="3"/>
  <c r="O29" i="3" s="1"/>
  <c r="A30" i="3"/>
  <c r="E30" i="3" s="1"/>
  <c r="A31" i="3"/>
  <c r="D31" i="3" s="1"/>
  <c r="A32" i="3"/>
  <c r="D32" i="3" s="1"/>
  <c r="A33" i="3"/>
  <c r="D33" i="3" s="1"/>
  <c r="A34" i="3"/>
  <c r="E34" i="3" s="1"/>
  <c r="A35" i="3"/>
  <c r="E35" i="3" s="1"/>
  <c r="A36" i="3"/>
  <c r="E36" i="3" s="1"/>
  <c r="A37" i="3"/>
  <c r="E37" i="3" s="1"/>
  <c r="A38" i="3"/>
  <c r="E38" i="3" s="1"/>
  <c r="A39" i="3"/>
  <c r="E39" i="3" s="1"/>
  <c r="B9" i="3"/>
  <c r="L9" i="3" s="1"/>
  <c r="A9" i="3"/>
  <c r="E9" i="3" s="1"/>
  <c r="E25" i="3" l="1"/>
  <c r="E23" i="3"/>
  <c r="E22" i="3"/>
  <c r="E17" i="3"/>
  <c r="E16" i="3"/>
  <c r="F16" i="3" s="1"/>
  <c r="E31" i="3"/>
  <c r="F31" i="3" s="1"/>
  <c r="E15" i="3"/>
  <c r="F15" i="3" s="1"/>
  <c r="E33" i="3"/>
  <c r="F33" i="3" s="1"/>
  <c r="E32" i="3"/>
  <c r="F32" i="3" s="1"/>
  <c r="E29" i="3"/>
  <c r="E13" i="3"/>
  <c r="E28" i="3"/>
  <c r="F28" i="3" s="1"/>
  <c r="E12" i="3"/>
  <c r="E27" i="3"/>
  <c r="F27" i="3" s="1"/>
  <c r="E26" i="3"/>
  <c r="F26" i="3" s="1"/>
  <c r="O12" i="3"/>
  <c r="O10" i="3"/>
  <c r="P29" i="3"/>
  <c r="P28" i="3"/>
  <c r="P24" i="3"/>
  <c r="H39" i="3"/>
  <c r="H32" i="3"/>
  <c r="G26" i="3"/>
  <c r="P33" i="3"/>
  <c r="D12" i="3"/>
  <c r="H28" i="3"/>
  <c r="G28" i="3"/>
  <c r="H23" i="3"/>
  <c r="P38" i="3"/>
  <c r="G36" i="3"/>
  <c r="H22" i="3"/>
  <c r="G33" i="3"/>
  <c r="H21" i="3"/>
  <c r="H16" i="3"/>
  <c r="O35" i="3"/>
  <c r="P22" i="3"/>
  <c r="G20" i="3"/>
  <c r="O32" i="3"/>
  <c r="P17" i="3"/>
  <c r="D38" i="3"/>
  <c r="F38" i="3" s="1"/>
  <c r="G17" i="3"/>
  <c r="O31" i="3"/>
  <c r="P13" i="3"/>
  <c r="D37" i="3"/>
  <c r="F37" i="3" s="1"/>
  <c r="G16" i="3"/>
  <c r="O28" i="3"/>
  <c r="P12" i="3"/>
  <c r="D36" i="3"/>
  <c r="F36" i="3" s="1"/>
  <c r="G15" i="3"/>
  <c r="O26" i="3"/>
  <c r="P10" i="3"/>
  <c r="G12" i="3"/>
  <c r="O19" i="3"/>
  <c r="D19" i="3"/>
  <c r="F19" i="3" s="1"/>
  <c r="G10" i="3"/>
  <c r="O16" i="3"/>
  <c r="H38" i="3"/>
  <c r="D18" i="3"/>
  <c r="F18" i="3" s="1"/>
  <c r="O15" i="3"/>
  <c r="H37" i="3"/>
  <c r="G32" i="3"/>
  <c r="G31" i="3"/>
  <c r="P26" i="3"/>
  <c r="D9" i="3"/>
  <c r="F9" i="3" s="1"/>
  <c r="G29" i="3"/>
  <c r="G13" i="3"/>
  <c r="H25" i="3"/>
  <c r="D39" i="3"/>
  <c r="F39" i="3" s="1"/>
  <c r="O27" i="3"/>
  <c r="O11" i="3"/>
  <c r="P25" i="3"/>
  <c r="H9" i="3"/>
  <c r="H24" i="3"/>
  <c r="G11" i="3"/>
  <c r="P9" i="3"/>
  <c r="O25" i="3"/>
  <c r="P39" i="3"/>
  <c r="P23" i="3"/>
  <c r="D35" i="3"/>
  <c r="F35" i="3" s="1"/>
  <c r="G9" i="3"/>
  <c r="G24" i="3"/>
  <c r="O39" i="3"/>
  <c r="O23" i="3"/>
  <c r="P37" i="3"/>
  <c r="P21" i="3"/>
  <c r="H36" i="3"/>
  <c r="H20" i="3"/>
  <c r="D14" i="3"/>
  <c r="F14" i="3" s="1"/>
  <c r="O24" i="3"/>
  <c r="D34" i="3"/>
  <c r="F34" i="3" s="1"/>
  <c r="G39" i="3"/>
  <c r="G23" i="3"/>
  <c r="O38" i="3"/>
  <c r="O22" i="3"/>
  <c r="P36" i="3"/>
  <c r="P20" i="3"/>
  <c r="H35" i="3"/>
  <c r="H19" i="3"/>
  <c r="G27" i="3"/>
  <c r="O9" i="3"/>
  <c r="D30" i="3"/>
  <c r="F30" i="3" s="1"/>
  <c r="G38" i="3"/>
  <c r="G22" i="3"/>
  <c r="O37" i="3"/>
  <c r="O21" i="3"/>
  <c r="P35" i="3"/>
  <c r="P19" i="3"/>
  <c r="H34" i="3"/>
  <c r="H18" i="3"/>
  <c r="G25" i="3"/>
  <c r="D29" i="3"/>
  <c r="G37" i="3"/>
  <c r="G21" i="3"/>
  <c r="O36" i="3"/>
  <c r="O20" i="3"/>
  <c r="P34" i="3"/>
  <c r="P18" i="3"/>
  <c r="H33" i="3"/>
  <c r="H17" i="3"/>
  <c r="D21" i="3"/>
  <c r="F21" i="3" s="1"/>
  <c r="G35" i="3"/>
  <c r="G19" i="3"/>
  <c r="O34" i="3"/>
  <c r="O18" i="3"/>
  <c r="P32" i="3"/>
  <c r="P16" i="3"/>
  <c r="H31" i="3"/>
  <c r="H15" i="3"/>
  <c r="D20" i="3"/>
  <c r="F20" i="3" s="1"/>
  <c r="G34" i="3"/>
  <c r="G18" i="3"/>
  <c r="O33" i="3"/>
  <c r="O17" i="3"/>
  <c r="P31" i="3"/>
  <c r="P15" i="3"/>
  <c r="H30" i="3"/>
  <c r="H14" i="3"/>
  <c r="P30" i="3"/>
  <c r="P14" i="3"/>
  <c r="H29" i="3"/>
  <c r="H13" i="3"/>
  <c r="O30" i="3"/>
  <c r="O14" i="3"/>
  <c r="H27" i="3"/>
  <c r="H11" i="3"/>
  <c r="D13" i="3"/>
  <c r="G30" i="3"/>
  <c r="G14" i="3"/>
  <c r="P27" i="3"/>
  <c r="P11" i="3"/>
  <c r="H26" i="3"/>
  <c r="H10" i="3"/>
  <c r="F23" i="3"/>
  <c r="D24" i="3"/>
  <c r="F24" i="3" s="1"/>
  <c r="F25" i="3"/>
  <c r="D11" i="3"/>
  <c r="F11" i="3" s="1"/>
  <c r="F22" i="3"/>
  <c r="D10" i="3"/>
  <c r="F10" i="3" s="1"/>
  <c r="F17" i="3"/>
  <c r="F12" i="3" l="1"/>
  <c r="F13" i="3"/>
  <c r="F29" i="3"/>
  <c r="Q39" i="3"/>
  <c r="R34" i="3"/>
  <c r="Q30" i="3"/>
  <c r="R32" i="3"/>
  <c r="R27" i="3"/>
  <c r="I32" i="3"/>
  <c r="K32" i="3" s="1"/>
  <c r="R24" i="3"/>
  <c r="R38" i="3"/>
  <c r="I35" i="3"/>
  <c r="K35" i="3" s="1"/>
  <c r="Q35" i="3"/>
  <c r="I33" i="3"/>
  <c r="K33" i="3" s="1"/>
  <c r="Q28" i="3"/>
  <c r="I26" i="3"/>
  <c r="K26" i="3" s="1"/>
  <c r="R29" i="3" l="1"/>
  <c r="I39" i="3"/>
  <c r="K39" i="3" s="1"/>
  <c r="I28" i="3"/>
  <c r="K28" i="3" s="1"/>
  <c r="R30" i="3"/>
  <c r="I24" i="3"/>
  <c r="K24" i="3" s="1"/>
  <c r="I30" i="3"/>
  <c r="K30" i="3" s="1"/>
  <c r="I36" i="3"/>
  <c r="I25" i="3"/>
  <c r="I38" i="3"/>
  <c r="I34" i="3"/>
  <c r="K34" i="3" s="1"/>
  <c r="I31" i="3"/>
  <c r="I37" i="3"/>
  <c r="I27" i="3"/>
  <c r="K27" i="3" s="1"/>
  <c r="I29" i="3"/>
  <c r="M26" i="3"/>
  <c r="M35" i="3"/>
  <c r="Q24" i="3"/>
  <c r="M33" i="3"/>
  <c r="Q33" i="3"/>
  <c r="R26" i="3"/>
  <c r="R25" i="3"/>
  <c r="Q36" i="3"/>
  <c r="Q37" i="3"/>
  <c r="R39" i="3"/>
  <c r="Q34" i="3"/>
  <c r="Q25" i="3"/>
  <c r="Q26" i="3"/>
  <c r="R36" i="3"/>
  <c r="R33" i="3"/>
  <c r="Q29" i="3"/>
  <c r="R37" i="3"/>
  <c r="R35" i="3"/>
  <c r="Q38" i="3"/>
  <c r="Q27" i="3"/>
  <c r="R28" i="3"/>
  <c r="R31" i="3"/>
  <c r="Q31" i="3"/>
  <c r="Q32" i="3"/>
  <c r="K29" i="3" l="1"/>
  <c r="M29" i="3" s="1"/>
  <c r="K37" i="3"/>
  <c r="M37" i="3" s="1"/>
  <c r="K31" i="3"/>
  <c r="M31" i="3" s="1"/>
  <c r="K38" i="3"/>
  <c r="M38" i="3" s="1"/>
  <c r="K25" i="3"/>
  <c r="M25" i="3" s="1"/>
  <c r="K36" i="3"/>
  <c r="M36" i="3" s="1"/>
  <c r="M34" i="3"/>
  <c r="M30" i="3"/>
  <c r="M27" i="3"/>
  <c r="M39" i="3"/>
  <c r="M28" i="3"/>
  <c r="M24" i="3"/>
  <c r="M32" i="3"/>
  <c r="X10" i="3"/>
  <c r="Q11" i="3" l="1"/>
  <c r="R16" i="3"/>
  <c r="S16" i="3" s="1"/>
  <c r="U16" i="3" s="1"/>
  <c r="Q15" i="3"/>
  <c r="Q9" i="3"/>
  <c r="I21" i="3"/>
  <c r="K21" i="3" s="1"/>
  <c r="I12" i="3"/>
  <c r="K12" i="3" s="1"/>
  <c r="I16" i="3"/>
  <c r="K16" i="3" s="1"/>
  <c r="I23" i="3"/>
  <c r="K23" i="3" s="1"/>
  <c r="I17" i="3"/>
  <c r="K17" i="3" s="1"/>
  <c r="I22" i="3"/>
  <c r="K22" i="3" s="1"/>
  <c r="I13" i="3"/>
  <c r="K13" i="3" s="1"/>
  <c r="I18" i="3"/>
  <c r="K18" i="3" s="1"/>
  <c r="I10" i="3"/>
  <c r="K10" i="3" s="1"/>
  <c r="I20" i="3"/>
  <c r="K20" i="3" s="1"/>
  <c r="I15" i="3"/>
  <c r="K15" i="3" s="1"/>
  <c r="I9" i="3"/>
  <c r="K9" i="3" s="1"/>
  <c r="I14" i="3"/>
  <c r="K14" i="3" s="1"/>
  <c r="I19" i="3"/>
  <c r="K19" i="3" s="1"/>
  <c r="I11" i="3"/>
  <c r="K11" i="3" s="1"/>
  <c r="Q13" i="3"/>
  <c r="H41" i="3"/>
  <c r="P41" i="3"/>
  <c r="E41" i="3"/>
  <c r="O41" i="3"/>
  <c r="G41" i="3"/>
  <c r="D41" i="3"/>
  <c r="Q21" i="3"/>
  <c r="Q17" i="3"/>
  <c r="Q10" i="3"/>
  <c r="Q22" i="3"/>
  <c r="R18" i="3"/>
  <c r="S18" i="3" s="1"/>
  <c r="T18" i="3" s="1"/>
  <c r="Q19" i="3"/>
  <c r="Q20" i="3"/>
  <c r="Q23" i="3"/>
  <c r="Q12" i="3"/>
  <c r="Q14" i="3"/>
  <c r="R19" i="3"/>
  <c r="S19" i="3" s="1"/>
  <c r="Q16" i="3"/>
  <c r="R21" i="3"/>
  <c r="S21" i="3" s="1"/>
  <c r="R13" i="3"/>
  <c r="S13" i="3" s="1"/>
  <c r="R10" i="3"/>
  <c r="S10" i="3" s="1"/>
  <c r="Q18" i="3"/>
  <c r="R15" i="3"/>
  <c r="S15" i="3" s="1"/>
  <c r="R23" i="3"/>
  <c r="S23" i="3" s="1"/>
  <c r="R20" i="3"/>
  <c r="S20" i="3" s="1"/>
  <c r="R12" i="3"/>
  <c r="S12" i="3" s="1"/>
  <c r="R11" i="3"/>
  <c r="S11" i="3" s="1"/>
  <c r="R22" i="3"/>
  <c r="S22" i="3" s="1"/>
  <c r="R17" i="3"/>
  <c r="S17" i="3" s="1"/>
  <c r="R9" i="3"/>
  <c r="R14" i="3"/>
  <c r="S14" i="3" s="1"/>
  <c r="M16" i="3" l="1"/>
  <c r="M15" i="3"/>
  <c r="M13" i="3"/>
  <c r="T16" i="3"/>
  <c r="M23" i="3"/>
  <c r="M11" i="3"/>
  <c r="M21" i="3"/>
  <c r="Q41" i="3"/>
  <c r="M10" i="3"/>
  <c r="M19" i="3"/>
  <c r="M20" i="3"/>
  <c r="S9" i="3"/>
  <c r="U9" i="3" s="1"/>
  <c r="R41" i="3"/>
  <c r="I41" i="3"/>
  <c r="F41" i="3"/>
  <c r="M14" i="3"/>
  <c r="M17" i="3"/>
  <c r="M9" i="3"/>
  <c r="M22" i="3"/>
  <c r="M18" i="3"/>
  <c r="M12" i="3"/>
  <c r="U18" i="3"/>
  <c r="T15" i="3"/>
  <c r="U15" i="3"/>
  <c r="T17" i="3"/>
  <c r="U17" i="3"/>
  <c r="T22" i="3"/>
  <c r="U22" i="3"/>
  <c r="U11" i="3"/>
  <c r="T11" i="3"/>
  <c r="T10" i="3"/>
  <c r="U10" i="3"/>
  <c r="T12" i="3"/>
  <c r="U12" i="3"/>
  <c r="T13" i="3"/>
  <c r="U13" i="3"/>
  <c r="T21" i="3"/>
  <c r="U21" i="3"/>
  <c r="T20" i="3"/>
  <c r="U20" i="3"/>
  <c r="T14" i="3"/>
  <c r="U14" i="3"/>
  <c r="T19" i="3"/>
  <c r="U19" i="3"/>
  <c r="T23" i="3"/>
  <c r="U23" i="3"/>
  <c r="T9" i="3" l="1"/>
  <c r="K41" i="3"/>
  <c r="M41" i="3"/>
</calcChain>
</file>

<file path=xl/sharedStrings.xml><?xml version="1.0" encoding="utf-8"?>
<sst xmlns="http://schemas.openxmlformats.org/spreadsheetml/2006/main" count="58" uniqueCount="33">
  <si>
    <t>Hora Inicial</t>
  </si>
  <si>
    <t>Hora Final</t>
  </si>
  <si>
    <t>Adicional noturno</t>
  </si>
  <si>
    <t>Início</t>
  </si>
  <si>
    <t>Fim</t>
  </si>
  <si>
    <t>Valor hora</t>
  </si>
  <si>
    <t>Hora noturna</t>
  </si>
  <si>
    <t>Hora normal</t>
  </si>
  <si>
    <t>Horas Trabalhadas Noturnas Convertidas</t>
  </si>
  <si>
    <t>Valor</t>
  </si>
  <si>
    <t>Diferença</t>
  </si>
  <si>
    <t>Horas Adic. Noturno</t>
  </si>
  <si>
    <t>Valor Total</t>
  </si>
  <si>
    <t>Dia da Semana</t>
  </si>
  <si>
    <t>Dia do Mês</t>
  </si>
  <si>
    <t>1° Turno</t>
  </si>
  <si>
    <t>2° Turno</t>
  </si>
  <si>
    <t>Adic. Noturno</t>
  </si>
  <si>
    <t>Total Horas</t>
  </si>
  <si>
    <t>Horas Extras</t>
  </si>
  <si>
    <t>TOTAL</t>
  </si>
  <si>
    <t>3° Turno</t>
  </si>
  <si>
    <t>Total
Geral</t>
  </si>
  <si>
    <t>Horas 
Normal</t>
  </si>
  <si>
    <t>DIA DO MÊS</t>
  </si>
  <si>
    <t xml:space="preserve"> </t>
  </si>
  <si>
    <t>DIA DA SEMANA</t>
  </si>
  <si>
    <t>ENTRADA 1° TURNO</t>
  </si>
  <si>
    <t>SAIDA 1° TURNO</t>
  </si>
  <si>
    <t>ENTRADA 2° TURNO</t>
  </si>
  <si>
    <t>SAIDA 2° TURNO</t>
  </si>
  <si>
    <t>ENTRADA 3 TURNO</t>
  </si>
  <si>
    <t>SAIDA 3° TURNO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</si>
</sst>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h]:mm:ss;@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4"/>
      <color theme="0"/>
      <name val="Aptos Narrow"/>
      <family val="2"/>
      <scheme val="minor"/>
    </font>
    <font>
      <sz val="11"/>
      <color theme="1"/>
      <name val="Aptos Display"/>
      <family val="2"/>
      <scheme val="maj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0000"/>
      <name val="Aptos Display"/>
      <family val="2"/>
      <scheme val="major"/>
    </font>
    <font>
      <sz val="10"/>
      <name val="Courier New"/>
      <family val="3"/>
    </font>
    <font>
      <b/>
      <sz val="11"/>
      <color rgb="FFFF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24994659260841701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medium">
        <color theme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9">
    <xf numFmtId="0" fontId="0" fillId="0" borderId="0" xfId="0"/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6" fontId="0" fillId="0" borderId="0" xfId="0" applyNumberFormat="1"/>
    <xf numFmtId="20" fontId="0" fillId="0" borderId="0" xfId="0" applyNumberFormat="1"/>
    <xf numFmtId="43" fontId="2" fillId="4" borderId="2" xfId="1" applyFont="1" applyFill="1" applyBorder="1" applyAlignment="1">
      <alignment horizontal="centerContinuous"/>
    </xf>
    <xf numFmtId="0" fontId="0" fillId="0" borderId="1" xfId="0" applyBorder="1"/>
    <xf numFmtId="20" fontId="0" fillId="0" borderId="1" xfId="1" applyNumberFormat="1" applyFont="1" applyBorder="1"/>
    <xf numFmtId="0" fontId="0" fillId="3" borderId="1" xfId="0" applyFill="1" applyBorder="1" applyAlignment="1">
      <alignment horizontal="center"/>
    </xf>
    <xf numFmtId="44" fontId="0" fillId="0" borderId="1" xfId="2" applyFont="1" applyBorder="1"/>
    <xf numFmtId="21" fontId="0" fillId="0" borderId="1" xfId="0" applyNumberFormat="1" applyBorder="1"/>
    <xf numFmtId="10" fontId="0" fillId="0" borderId="1" xfId="0" applyNumberFormat="1" applyBorder="1"/>
    <xf numFmtId="44" fontId="0" fillId="0" borderId="3" xfId="2" applyFont="1" applyBorder="1"/>
    <xf numFmtId="0" fontId="5" fillId="3" borderId="8" xfId="0" applyFont="1" applyFill="1" applyBorder="1"/>
    <xf numFmtId="0" fontId="5" fillId="3" borderId="9" xfId="0" applyFont="1" applyFill="1" applyBorder="1"/>
    <xf numFmtId="0" fontId="5" fillId="3" borderId="10" xfId="0" applyFont="1" applyFill="1" applyBorder="1"/>
    <xf numFmtId="164" fontId="0" fillId="0" borderId="11" xfId="0" applyNumberFormat="1" applyBorder="1"/>
    <xf numFmtId="0" fontId="0" fillId="3" borderId="7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0" fillId="0" borderId="16" xfId="0" applyNumberFormat="1" applyBorder="1"/>
    <xf numFmtId="0" fontId="4" fillId="0" borderId="6" xfId="0" applyFont="1" applyBorder="1" applyAlignment="1">
      <alignment horizontal="center"/>
    </xf>
    <xf numFmtId="164" fontId="0" fillId="0" borderId="5" xfId="0" applyNumberFormat="1" applyBorder="1"/>
    <xf numFmtId="0" fontId="5" fillId="3" borderId="9" xfId="0" applyFont="1" applyFill="1" applyBorder="1" applyAlignment="1">
      <alignment horizontal="center"/>
    </xf>
    <xf numFmtId="0" fontId="5" fillId="3" borderId="17" xfId="0" applyFont="1" applyFill="1" applyBorder="1"/>
    <xf numFmtId="0" fontId="0" fillId="0" borderId="5" xfId="0" applyBorder="1"/>
    <xf numFmtId="0" fontId="0" fillId="3" borderId="8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20" fontId="4" fillId="0" borderId="7" xfId="0" applyNumberFormat="1" applyFont="1" applyBorder="1" applyAlignment="1">
      <alignment horizontal="center"/>
    </xf>
    <xf numFmtId="20" fontId="4" fillId="0" borderId="18" xfId="0" applyNumberFormat="1" applyFont="1" applyBorder="1" applyAlignment="1">
      <alignment horizontal="center"/>
    </xf>
    <xf numFmtId="20" fontId="4" fillId="0" borderId="6" xfId="0" applyNumberFormat="1" applyFont="1" applyBorder="1" applyAlignment="1">
      <alignment horizontal="center"/>
    </xf>
    <xf numFmtId="20" fontId="4" fillId="0" borderId="0" xfId="0" applyNumberFormat="1" applyFont="1" applyAlignment="1">
      <alignment horizontal="center"/>
    </xf>
    <xf numFmtId="20" fontId="4" fillId="0" borderId="4" xfId="0" applyNumberFormat="1" applyFont="1" applyBorder="1" applyAlignment="1">
      <alignment horizontal="center"/>
    </xf>
    <xf numFmtId="20" fontId="4" fillId="0" borderId="19" xfId="0" applyNumberFormat="1" applyFont="1" applyBorder="1" applyAlignment="1">
      <alignment horizontal="center"/>
    </xf>
    <xf numFmtId="20" fontId="4" fillId="0" borderId="20" xfId="0" applyNumberFormat="1" applyFont="1" applyBorder="1" applyAlignment="1">
      <alignment horizontal="center"/>
    </xf>
    <xf numFmtId="20" fontId="4" fillId="0" borderId="21" xfId="0" applyNumberFormat="1" applyFont="1" applyBorder="1" applyAlignment="1">
      <alignment horizontal="center"/>
    </xf>
    <xf numFmtId="0" fontId="0" fillId="3" borderId="18" xfId="0" applyFill="1" applyBorder="1" applyAlignment="1">
      <alignment horizontal="center"/>
    </xf>
    <xf numFmtId="20" fontId="7" fillId="0" borderId="22" xfId="0" applyNumberFormat="1" applyFont="1" applyBorder="1" applyAlignment="1">
      <alignment horizontal="center"/>
    </xf>
    <xf numFmtId="20" fontId="7" fillId="0" borderId="23" xfId="0" applyNumberFormat="1" applyFont="1" applyBorder="1" applyAlignment="1">
      <alignment horizontal="center"/>
    </xf>
    <xf numFmtId="20" fontId="7" fillId="0" borderId="24" xfId="0" applyNumberFormat="1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6" fillId="0" borderId="22" xfId="0" applyNumberFormat="1" applyFont="1" applyBorder="1"/>
    <xf numFmtId="164" fontId="6" fillId="0" borderId="23" xfId="0" applyNumberFormat="1" applyFont="1" applyBorder="1"/>
    <xf numFmtId="164" fontId="6" fillId="0" borderId="24" xfId="0" applyNumberFormat="1" applyFont="1" applyBorder="1"/>
    <xf numFmtId="0" fontId="5" fillId="0" borderId="23" xfId="0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164" fontId="0" fillId="0" borderId="32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20" fontId="7" fillId="0" borderId="33" xfId="0" applyNumberFormat="1" applyFont="1" applyBorder="1" applyAlignment="1">
      <alignment horizontal="center"/>
    </xf>
    <xf numFmtId="20" fontId="7" fillId="0" borderId="5" xfId="0" applyNumberFormat="1" applyFont="1" applyBorder="1" applyAlignment="1">
      <alignment horizontal="center"/>
    </xf>
    <xf numFmtId="0" fontId="0" fillId="3" borderId="34" xfId="0" applyFill="1" applyBorder="1" applyAlignment="1">
      <alignment horizontal="center"/>
    </xf>
    <xf numFmtId="20" fontId="7" fillId="0" borderId="16" xfId="0" applyNumberFormat="1" applyFont="1" applyBorder="1" applyAlignment="1">
      <alignment horizontal="center"/>
    </xf>
    <xf numFmtId="20" fontId="4" fillId="0" borderId="35" xfId="0" applyNumberFormat="1" applyFont="1" applyBorder="1" applyAlignment="1">
      <alignment horizontal="center"/>
    </xf>
    <xf numFmtId="20" fontId="4" fillId="0" borderId="33" xfId="0" applyNumberFormat="1" applyFont="1" applyBorder="1" applyAlignment="1">
      <alignment horizontal="center"/>
    </xf>
    <xf numFmtId="20" fontId="4" fillId="0" borderId="5" xfId="0" applyNumberFormat="1" applyFont="1" applyBorder="1" applyAlignment="1">
      <alignment horizontal="center"/>
    </xf>
    <xf numFmtId="20" fontId="4" fillId="0" borderId="16" xfId="0" applyNumberFormat="1" applyFont="1" applyBorder="1" applyAlignment="1">
      <alignment horizontal="center"/>
    </xf>
    <xf numFmtId="20" fontId="7" fillId="0" borderId="36" xfId="0" applyNumberFormat="1" applyFont="1" applyBorder="1" applyAlignment="1">
      <alignment horizontal="center"/>
    </xf>
    <xf numFmtId="20" fontId="7" fillId="0" borderId="37" xfId="0" applyNumberFormat="1" applyFont="1" applyBorder="1" applyAlignment="1">
      <alignment horizontal="center"/>
    </xf>
    <xf numFmtId="20" fontId="7" fillId="0" borderId="38" xfId="0" applyNumberFormat="1" applyFont="1" applyBorder="1" applyAlignment="1">
      <alignment horizontal="center"/>
    </xf>
    <xf numFmtId="0" fontId="2" fillId="5" borderId="0" xfId="0" applyFont="1" applyFill="1"/>
    <xf numFmtId="0" fontId="8" fillId="6" borderId="0" xfId="0" applyFont="1" applyFill="1"/>
    <xf numFmtId="0" fontId="4" fillId="0" borderId="39" xfId="0" applyFont="1" applyBorder="1" applyAlignment="1">
      <alignment horizontal="center"/>
    </xf>
    <xf numFmtId="0" fontId="0" fillId="0" borderId="40" xfId="0" applyBorder="1"/>
    <xf numFmtId="0" fontId="5" fillId="0" borderId="8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 wrapText="1"/>
    </xf>
    <xf numFmtId="0" fontId="5" fillId="3" borderId="24" xfId="0" applyFont="1" applyFill="1" applyBorder="1" applyAlignment="1">
      <alignment horizontal="center" wrapText="1"/>
    </xf>
  </cellXfs>
  <cellStyles count="3">
    <cellStyle name="Moeda" xfId="2" builtinId="4"/>
    <cellStyle name="Normal" xfId="0" builtinId="0"/>
    <cellStyle name="Vírgula" xfId="1" builtinId="3"/>
  </cellStyles>
  <dxfs count="8"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Cinza" pivot="0" count="2" xr9:uid="{908ECF13-3AAD-4E32-A1D9-53B6A23E444A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aistudio.google.com/app/prompts/1z-Eabf3WXhijCFq_vPxtjeVUSldWIkII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464820</xdr:colOff>
          <xdr:row>1</xdr:row>
          <xdr:rowOff>60960</xdr:rowOff>
        </xdr:from>
        <xdr:to>
          <xdr:col>12</xdr:col>
          <xdr:colOff>320040</xdr:colOff>
          <xdr:row>2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ptos Narrow"/>
                </a:rPr>
                <a:t>1-CORRIGIR</a:t>
              </a:r>
            </a:p>
            <a:p>
              <a:pPr algn="ctr" rtl="0">
                <a:defRPr sz="1000"/>
              </a:pPr>
              <a:endParaRPr lang="pt-BR" sz="1100" b="1" i="0" u="none" strike="noStrike" baseline="0">
                <a:solidFill>
                  <a:srgbClr val="FF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3</xdr:row>
          <xdr:rowOff>121920</xdr:rowOff>
        </xdr:from>
        <xdr:to>
          <xdr:col>12</xdr:col>
          <xdr:colOff>304800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ptos Narrow"/>
                </a:rPr>
                <a:t>2-LIMPAR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472440</xdr:colOff>
      <xdr:row>5</xdr:row>
      <xdr:rowOff>160020</xdr:rowOff>
    </xdr:from>
    <xdr:to>
      <xdr:col>12</xdr:col>
      <xdr:colOff>327660</xdr:colOff>
      <xdr:row>7</xdr:row>
      <xdr:rowOff>121920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480448-8D94-B469-BA6D-298F05D07E7B}"/>
            </a:ext>
          </a:extLst>
        </xdr:cNvPr>
        <xdr:cNvSpPr txBox="1"/>
      </xdr:nvSpPr>
      <xdr:spPr>
        <a:xfrm>
          <a:off x="9814560" y="1074420"/>
          <a:ext cx="1074420" cy="32766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3-SITE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782292</xdr:colOff>
      <xdr:row>0</xdr:row>
      <xdr:rowOff>74543</xdr:rowOff>
    </xdr:from>
    <xdr:to>
      <xdr:col>12</xdr:col>
      <xdr:colOff>545454</xdr:colOff>
      <xdr:row>3</xdr:row>
      <xdr:rowOff>81126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3E74CBD-9BFC-4191-9FE2-70B373EC93D1}"/>
            </a:ext>
          </a:extLst>
        </xdr:cNvPr>
        <xdr:cNvSpPr txBox="1"/>
      </xdr:nvSpPr>
      <xdr:spPr>
        <a:xfrm>
          <a:off x="1450024" y="74543"/>
          <a:ext cx="6181244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>
              <a:solidFill>
                <a:schemeClr val="bg1">
                  <a:lumMod val="95000"/>
                </a:schemeClr>
              </a:solidFill>
              <a:latin typeface="Century Gothic" panose="020B0502020202020204" pitchFamily="34" charset="0"/>
            </a:rPr>
            <a:t>Cálculo do Adicional</a:t>
          </a:r>
          <a:r>
            <a:rPr lang="pt-BR" sz="2800" b="1" baseline="0">
              <a:solidFill>
                <a:schemeClr val="bg1">
                  <a:lumMod val="95000"/>
                </a:schemeClr>
              </a:solidFill>
              <a:latin typeface="Century Gothic" panose="020B0502020202020204" pitchFamily="34" charset="0"/>
            </a:rPr>
            <a:t> Noturno Mês</a:t>
          </a:r>
        </a:p>
        <a:p>
          <a:endParaRPr lang="pt-BR" sz="2800" b="1">
            <a:solidFill>
              <a:schemeClr val="bg1">
                <a:lumMod val="9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EEC03-56AD-4EC9-96F0-82BF6790221E}">
  <dimension ref="A1:AI32"/>
  <sheetViews>
    <sheetView showGridLines="0" showRowColHeaders="0" tabSelected="1" workbookViewId="0">
      <selection activeCell="E20" sqref="E20"/>
    </sheetView>
  </sheetViews>
  <sheetFormatPr defaultRowHeight="14.4" x14ac:dyDescent="0.3"/>
  <cols>
    <col min="1" max="1" width="10.44140625" bestFit="1" customWidth="1"/>
    <col min="2" max="2" width="13.88671875" bestFit="1" customWidth="1"/>
    <col min="3" max="3" width="17.33203125" bestFit="1" customWidth="1"/>
    <col min="4" max="4" width="14.33203125" bestFit="1" customWidth="1"/>
    <col min="5" max="5" width="17.33203125" bestFit="1" customWidth="1"/>
    <col min="6" max="6" width="14.33203125" bestFit="1" customWidth="1"/>
    <col min="7" max="7" width="16.44140625" bestFit="1" customWidth="1"/>
    <col min="8" max="8" width="14.33203125" bestFit="1" customWidth="1"/>
  </cols>
  <sheetData>
    <row r="1" spans="1:35" x14ac:dyDescent="0.3">
      <c r="A1" s="68" t="s">
        <v>24</v>
      </c>
      <c r="B1" s="68" t="s">
        <v>26</v>
      </c>
      <c r="C1" s="68" t="s">
        <v>27</v>
      </c>
      <c r="D1" s="68" t="s">
        <v>28</v>
      </c>
      <c r="E1" s="68" t="s">
        <v>29</v>
      </c>
      <c r="F1" s="68" t="s">
        <v>30</v>
      </c>
      <c r="G1" s="68" t="s">
        <v>31</v>
      </c>
      <c r="H1" s="68" t="s">
        <v>32</v>
      </c>
      <c r="I1" s="68"/>
      <c r="AA1" s="68" t="s">
        <v>24</v>
      </c>
      <c r="AB1" s="68" t="s">
        <v>26</v>
      </c>
      <c r="AC1" s="68" t="s">
        <v>27</v>
      </c>
      <c r="AD1" s="68" t="s">
        <v>28</v>
      </c>
      <c r="AE1" s="68" t="s">
        <v>29</v>
      </c>
      <c r="AF1" s="68" t="s">
        <v>30</v>
      </c>
      <c r="AG1" s="68" t="s">
        <v>31</v>
      </c>
      <c r="AH1" s="68" t="s">
        <v>32</v>
      </c>
      <c r="AI1" s="68"/>
    </row>
    <row r="2" spans="1:35" x14ac:dyDescent="0.3">
      <c r="A2" s="69"/>
      <c r="C2" s="4"/>
      <c r="D2" s="4"/>
      <c r="E2" s="4"/>
      <c r="F2" s="4"/>
      <c r="G2" s="4"/>
      <c r="H2" s="4"/>
    </row>
    <row r="3" spans="1:35" x14ac:dyDescent="0.3">
      <c r="C3" s="4"/>
      <c r="D3" s="4"/>
      <c r="E3" s="4"/>
      <c r="F3" s="4"/>
      <c r="G3" s="4"/>
      <c r="H3" s="4"/>
    </row>
    <row r="4" spans="1:35" x14ac:dyDescent="0.3">
      <c r="C4" s="4"/>
      <c r="D4" s="4"/>
      <c r="E4" s="4"/>
      <c r="F4" s="4"/>
      <c r="G4" s="4"/>
      <c r="H4" s="4"/>
    </row>
    <row r="5" spans="1:35" x14ac:dyDescent="0.3">
      <c r="C5" s="4"/>
      <c r="D5" s="4"/>
      <c r="E5" s="4"/>
      <c r="F5" s="4"/>
      <c r="I5" t="s">
        <v>25</v>
      </c>
    </row>
    <row r="6" spans="1:35" x14ac:dyDescent="0.3">
      <c r="C6" s="4"/>
      <c r="D6" s="4"/>
      <c r="E6" s="4"/>
      <c r="F6" s="4"/>
      <c r="G6" s="4"/>
      <c r="H6" s="4"/>
    </row>
    <row r="7" spans="1:35" x14ac:dyDescent="0.3">
      <c r="C7" s="4"/>
      <c r="D7" s="4"/>
      <c r="E7" s="4"/>
      <c r="F7" s="4"/>
      <c r="G7" s="4"/>
      <c r="H7" s="4"/>
    </row>
    <row r="8" spans="1:35" x14ac:dyDescent="0.3">
      <c r="C8" s="4"/>
      <c r="D8" s="4"/>
      <c r="E8" s="4"/>
      <c r="F8" s="4"/>
      <c r="I8" t="s">
        <v>25</v>
      </c>
    </row>
    <row r="9" spans="1:35" x14ac:dyDescent="0.3">
      <c r="C9" s="4"/>
      <c r="D9" s="4"/>
      <c r="E9" s="4"/>
      <c r="F9" s="4"/>
      <c r="I9" t="s">
        <v>25</v>
      </c>
    </row>
    <row r="10" spans="1:35" x14ac:dyDescent="0.3">
      <c r="C10" s="4"/>
      <c r="D10" s="4"/>
      <c r="E10" s="4"/>
      <c r="F10" s="4"/>
      <c r="G10" s="4"/>
      <c r="H10" s="4"/>
    </row>
    <row r="11" spans="1:35" x14ac:dyDescent="0.3">
      <c r="C11" s="4"/>
      <c r="D11" s="4"/>
      <c r="E11" s="4"/>
      <c r="F11" s="4"/>
      <c r="I11" t="s">
        <v>25</v>
      </c>
    </row>
    <row r="12" spans="1:35" x14ac:dyDescent="0.3">
      <c r="C12" s="4"/>
      <c r="D12" s="4"/>
      <c r="E12" s="4"/>
      <c r="F12" s="4"/>
      <c r="I12" t="s">
        <v>25</v>
      </c>
    </row>
    <row r="13" spans="1:35" x14ac:dyDescent="0.3">
      <c r="C13" s="4"/>
      <c r="D13" s="4"/>
      <c r="E13" s="4"/>
      <c r="F13" s="4"/>
      <c r="I13" t="s">
        <v>25</v>
      </c>
    </row>
    <row r="14" spans="1:35" x14ac:dyDescent="0.3">
      <c r="C14" s="4"/>
      <c r="D14" s="4"/>
      <c r="E14" s="4"/>
      <c r="F14" s="4"/>
      <c r="G14" s="4"/>
      <c r="H14" s="4"/>
    </row>
    <row r="15" spans="1:35" x14ac:dyDescent="0.3">
      <c r="C15" s="4"/>
      <c r="D15" s="4"/>
      <c r="E15" s="4"/>
      <c r="F15" s="4"/>
      <c r="G15" s="4"/>
      <c r="H15" s="4"/>
    </row>
    <row r="16" spans="1:35" x14ac:dyDescent="0.3">
      <c r="C16" s="4"/>
      <c r="D16" s="4"/>
      <c r="E16" s="4"/>
      <c r="F16" s="4"/>
      <c r="G16" s="4"/>
      <c r="H16" s="4"/>
    </row>
    <row r="17" spans="3:9" x14ac:dyDescent="0.3">
      <c r="C17" s="4"/>
      <c r="D17" s="4"/>
      <c r="E17" s="4"/>
      <c r="F17" s="4"/>
      <c r="G17" s="4"/>
      <c r="H17" s="4"/>
    </row>
    <row r="18" spans="3:9" x14ac:dyDescent="0.3">
      <c r="C18" s="4"/>
      <c r="D18" s="4"/>
      <c r="E18" s="4"/>
      <c r="F18" s="4"/>
      <c r="G18" s="4"/>
      <c r="H18" s="4"/>
    </row>
    <row r="19" spans="3:9" x14ac:dyDescent="0.3">
      <c r="C19" s="4"/>
      <c r="D19" s="4"/>
      <c r="E19" s="4"/>
      <c r="F19" s="4"/>
      <c r="I19" t="s">
        <v>25</v>
      </c>
    </row>
    <row r="20" spans="3:9" x14ac:dyDescent="0.3">
      <c r="C20" s="4"/>
      <c r="D20" s="4"/>
      <c r="E20" s="4"/>
      <c r="F20" s="4"/>
      <c r="G20" s="4"/>
      <c r="H20" s="4"/>
    </row>
    <row r="21" spans="3:9" x14ac:dyDescent="0.3">
      <c r="C21" s="4"/>
      <c r="D21" s="4"/>
      <c r="E21" s="4"/>
      <c r="F21" s="4"/>
      <c r="I21" t="s">
        <v>25</v>
      </c>
    </row>
    <row r="22" spans="3:9" x14ac:dyDescent="0.3">
      <c r="C22" s="4"/>
      <c r="D22" s="4"/>
      <c r="E22" s="4"/>
      <c r="F22" s="4"/>
      <c r="G22" s="4"/>
      <c r="H22" s="4"/>
    </row>
    <row r="23" spans="3:9" x14ac:dyDescent="0.3">
      <c r="C23" s="4"/>
      <c r="D23" s="4"/>
      <c r="E23" s="4"/>
      <c r="F23" s="4"/>
      <c r="G23" s="4"/>
      <c r="H23" s="4"/>
    </row>
    <row r="24" spans="3:9" x14ac:dyDescent="0.3">
      <c r="C24" s="4"/>
      <c r="D24" s="4"/>
      <c r="E24" s="4"/>
      <c r="F24" s="4"/>
      <c r="G24" s="4"/>
      <c r="H24" s="4"/>
    </row>
    <row r="25" spans="3:9" x14ac:dyDescent="0.3">
      <c r="C25" s="4"/>
      <c r="D25" s="4"/>
      <c r="E25" s="4"/>
      <c r="F25" s="4"/>
      <c r="I25" t="s">
        <v>25</v>
      </c>
    </row>
    <row r="26" spans="3:9" x14ac:dyDescent="0.3">
      <c r="C26" s="4"/>
      <c r="D26" s="4"/>
      <c r="E26" s="4"/>
      <c r="F26" s="4"/>
      <c r="I26" t="s">
        <v>25</v>
      </c>
    </row>
    <row r="27" spans="3:9" x14ac:dyDescent="0.3">
      <c r="C27" s="4"/>
      <c r="D27" s="4"/>
      <c r="E27" s="4"/>
      <c r="F27" s="4"/>
      <c r="G27" s="4"/>
      <c r="H27" s="4"/>
    </row>
    <row r="28" spans="3:9" x14ac:dyDescent="0.3">
      <c r="C28" s="4"/>
      <c r="D28" s="4"/>
      <c r="E28" s="4"/>
      <c r="F28" s="4"/>
      <c r="G28" s="4"/>
      <c r="H28" s="4"/>
    </row>
    <row r="29" spans="3:9" x14ac:dyDescent="0.3">
      <c r="C29" s="4"/>
      <c r="D29" s="4"/>
      <c r="E29" s="4"/>
      <c r="F29" s="4"/>
      <c r="G29" s="4"/>
      <c r="H29" s="4"/>
    </row>
    <row r="30" spans="3:9" x14ac:dyDescent="0.3">
      <c r="C30" s="4"/>
      <c r="D30" s="4"/>
      <c r="E30" s="4"/>
      <c r="F30" s="4"/>
      <c r="G30" s="4"/>
      <c r="H30" s="4"/>
    </row>
    <row r="31" spans="3:9" x14ac:dyDescent="0.3">
      <c r="C31" s="4"/>
      <c r="D31" s="4"/>
      <c r="E31" s="4"/>
      <c r="F31" s="4"/>
      <c r="G31" s="4"/>
      <c r="H31" s="4"/>
    </row>
    <row r="32" spans="3:9" x14ac:dyDescent="0.3">
      <c r="C32" s="4"/>
      <c r="D32" s="4"/>
      <c r="E32" s="4"/>
      <c r="F32" s="4"/>
      <c r="I32" t="s">
        <v>25</v>
      </c>
    </row>
  </sheetData>
  <conditionalFormatting sqref="A2:H31">
    <cfRule type="expression" dxfId="5" priority="1">
      <formula>MOD(ROW(),2)=0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RRIGIR">
                <anchor moveWithCells="1">
                  <from>
                    <xdr:col>10</xdr:col>
                    <xdr:colOff>464820</xdr:colOff>
                    <xdr:row>1</xdr:row>
                    <xdr:rowOff>60960</xdr:rowOff>
                  </from>
                  <to>
                    <xdr:col>12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IMPAR">
                <anchor moveWithCells="1">
                  <from>
                    <xdr:col>10</xdr:col>
                    <xdr:colOff>449580</xdr:colOff>
                    <xdr:row>3</xdr:row>
                    <xdr:rowOff>121920</xdr:rowOff>
                  </from>
                  <to>
                    <xdr:col>12</xdr:col>
                    <xdr:colOff>304800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46BF5-25AA-45B3-B04B-90B9BC8BE201}">
  <dimension ref="A1:X41"/>
  <sheetViews>
    <sheetView showGridLines="0" topLeftCell="A10" zoomScale="97" zoomScaleNormal="58" zoomScaleSheetLayoutView="53" workbookViewId="0">
      <selection activeCell="F46" sqref="F46"/>
    </sheetView>
  </sheetViews>
  <sheetFormatPr defaultRowHeight="14.4" x14ac:dyDescent="0.3"/>
  <cols>
    <col min="1" max="1" width="9.77734375" bestFit="1" customWidth="1"/>
    <col min="2" max="2" width="13" bestFit="1" customWidth="1"/>
    <col min="3" max="3" width="1.6640625" customWidth="1"/>
    <col min="4" max="4" width="10.109375" bestFit="1" customWidth="1"/>
    <col min="5" max="5" width="9.21875" bestFit="1" customWidth="1"/>
    <col min="6" max="7" width="10.109375" bestFit="1" customWidth="1"/>
    <col min="8" max="8" width="9.21875" bestFit="1" customWidth="1"/>
    <col min="9" max="9" width="10.109375" bestFit="1" customWidth="1"/>
    <col min="10" max="10" width="1.44140625" customWidth="1"/>
    <col min="11" max="12" width="9.21875" customWidth="1"/>
    <col min="13" max="13" width="11.6640625" bestFit="1" customWidth="1"/>
    <col min="14" max="14" width="1.21875" customWidth="1"/>
    <col min="15" max="16" width="15.109375" bestFit="1" customWidth="1"/>
    <col min="17" max="17" width="9.77734375" bestFit="1" customWidth="1"/>
    <col min="18" max="18" width="17" customWidth="1"/>
    <col min="19" max="19" width="32.77734375" hidden="1" customWidth="1"/>
    <col min="20" max="21" width="14.33203125" hidden="1" customWidth="1"/>
    <col min="22" max="22" width="10.21875" customWidth="1"/>
    <col min="23" max="23" width="14.77734375" customWidth="1"/>
    <col min="24" max="24" width="9.6640625" bestFit="1" customWidth="1"/>
  </cols>
  <sheetData>
    <row r="1" spans="1:24" ht="31.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31.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2"/>
      <c r="O2" s="1"/>
      <c r="P2" s="1"/>
      <c r="Q2" s="1"/>
      <c r="R2" s="1"/>
      <c r="S2" s="1"/>
      <c r="T2" s="1"/>
      <c r="U2" s="1"/>
      <c r="V2" s="1"/>
      <c r="W2" s="1"/>
      <c r="X2" s="1"/>
    </row>
    <row r="4" spans="1:24" x14ac:dyDescent="0.3">
      <c r="W4" s="5" t="s">
        <v>2</v>
      </c>
      <c r="X4" s="5"/>
    </row>
    <row r="5" spans="1:24" x14ac:dyDescent="0.3">
      <c r="W5" s="6" t="s">
        <v>3</v>
      </c>
      <c r="X5" s="7">
        <v>0.91666666666666663</v>
      </c>
    </row>
    <row r="6" spans="1:24" ht="15" thickBot="1" x14ac:dyDescent="0.35">
      <c r="W6" s="6" t="s">
        <v>4</v>
      </c>
      <c r="X6" s="7">
        <v>0.20833333333333334</v>
      </c>
    </row>
    <row r="7" spans="1:24" ht="15" thickBot="1" x14ac:dyDescent="0.35">
      <c r="A7" s="13"/>
      <c r="B7" s="26"/>
      <c r="D7" s="74" t="s">
        <v>15</v>
      </c>
      <c r="E7" s="75"/>
      <c r="F7" s="14"/>
      <c r="G7" s="74" t="s">
        <v>16</v>
      </c>
      <c r="H7" s="75"/>
      <c r="I7" s="25"/>
      <c r="J7" s="46"/>
      <c r="K7" s="77" t="s">
        <v>22</v>
      </c>
      <c r="L7" s="77" t="s">
        <v>23</v>
      </c>
      <c r="M7" s="77" t="s">
        <v>19</v>
      </c>
      <c r="N7" s="46"/>
      <c r="O7" s="75" t="s">
        <v>21</v>
      </c>
      <c r="P7" s="75"/>
      <c r="Q7" s="76"/>
      <c r="R7" s="15" t="s">
        <v>17</v>
      </c>
      <c r="W7" s="6" t="s">
        <v>5</v>
      </c>
      <c r="X7" s="9">
        <v>25</v>
      </c>
    </row>
    <row r="8" spans="1:24" ht="15" thickBot="1" x14ac:dyDescent="0.35">
      <c r="A8" s="28" t="s">
        <v>14</v>
      </c>
      <c r="B8" s="29" t="s">
        <v>13</v>
      </c>
      <c r="D8" s="17" t="s">
        <v>0</v>
      </c>
      <c r="E8" s="18" t="s">
        <v>1</v>
      </c>
      <c r="F8" s="19" t="s">
        <v>18</v>
      </c>
      <c r="G8" s="17" t="s">
        <v>0</v>
      </c>
      <c r="H8" s="59" t="s">
        <v>1</v>
      </c>
      <c r="I8" s="18" t="s">
        <v>18</v>
      </c>
      <c r="J8" s="42"/>
      <c r="K8" s="78"/>
      <c r="L8" s="78"/>
      <c r="M8" s="78"/>
      <c r="N8" s="42"/>
      <c r="O8" s="38" t="s">
        <v>0</v>
      </c>
      <c r="P8" s="18" t="s">
        <v>1</v>
      </c>
      <c r="Q8" s="19" t="s">
        <v>18</v>
      </c>
      <c r="R8" s="21" t="s">
        <v>11</v>
      </c>
      <c r="S8" s="20" t="s">
        <v>8</v>
      </c>
      <c r="T8" s="8" t="s">
        <v>9</v>
      </c>
      <c r="U8" s="8" t="s">
        <v>12</v>
      </c>
      <c r="W8" s="6" t="s">
        <v>7</v>
      </c>
      <c r="X8" s="10">
        <v>4.1666666666666664E-2</v>
      </c>
    </row>
    <row r="9" spans="1:24" x14ac:dyDescent="0.3">
      <c r="A9" s="23">
        <f>BD!A2</f>
        <v>0</v>
      </c>
      <c r="B9" s="27">
        <f>BD!B2</f>
        <v>0</v>
      </c>
      <c r="D9" s="30" t="str">
        <f>_xlfn.XLOOKUP($A9,BD!$A:$A,BD!$C:$C,"00:00")</f>
        <v>00:00</v>
      </c>
      <c r="E9" s="31" t="str">
        <f>_xlfn.XLOOKUP($A9,BD!A:A,BD!$D:$D,"00:00")</f>
        <v>00:00</v>
      </c>
      <c r="F9" s="65">
        <f>IFERROR(E9-D9,"00:00")</f>
        <v>0</v>
      </c>
      <c r="G9" s="36" t="str">
        <f>_xlfn.XLOOKUP($A9,BD!$A:$A,BD!$E:$E,"00:00")</f>
        <v>00:00</v>
      </c>
      <c r="H9" s="33" t="str">
        <f>_xlfn.XLOOKUP(A9,BD!$A:$A,BD!$F:$F,"00:00")</f>
        <v>00:00</v>
      </c>
      <c r="I9" s="57">
        <f>IFERROR(H9-G9,"")</f>
        <v>0</v>
      </c>
      <c r="J9" s="40"/>
      <c r="K9" s="39">
        <f>IFERROR(I9+F9,"00:00")</f>
        <v>0</v>
      </c>
      <c r="L9" s="40">
        <f t="shared" ref="L9:L13" si="0">SUM(IF(B9="SAB","4:00:00")+
IF(B9="dom","8:00:00"),
IF(B9="seg","8:00:00"),
IF(B9="ter","8:00:00"),
IF(B9="qua","8:00:00"),
IF(B9="qui","8:00:00"),
IF(B9="sex","8:00:00")
)</f>
        <v>0</v>
      </c>
      <c r="M9" s="43">
        <f>(K9-L9)</f>
        <v>0</v>
      </c>
      <c r="N9" s="40"/>
      <c r="O9" s="30" t="str">
        <f>_xlfn.XLOOKUP($A9,BD!$A:$A,BD!$G:$G,"00:00")</f>
        <v>00:00</v>
      </c>
      <c r="P9" s="62" t="str">
        <f>_xlfn.XLOOKUP($A9,BD!$A:$A,BD!$H:$H,"00:00")</f>
        <v>00:00</v>
      </c>
      <c r="Q9" s="43">
        <f>(P9-O9+(P9&lt;O9))</f>
        <v>0</v>
      </c>
      <c r="R9" s="24">
        <f>IF(ISTEXT(O9),0,IF(AND(O9&gt;=P9,O9&lt;=hora_inicial,O9&lt;&gt;0,P9&lt;&gt;0),MOD(hora_final-hora_inicial,1)-IF(P9&lt;=hora_final,hora_final-P9)+IF(O9&lt;=hora_final,hora_final-O9),IF(AND(O9&gt;=P9,O9&gt;hora_inicial,O9&lt;&gt;0,P9&lt;&gt;0),MOD(hora_final-hora_inicial,1)-(O9-hora_inicial)+IF(P9&gt;=hora_inicial,P9-hora_inicial)-IF(P9&lt;hora_final,hora_final-P9),IF(AND(O9&lt;P9,ISNUMBER(O9),P9&lt;&gt;0),0+IF(AND(O9&lt;=hora_final,P9&lt;=hora_final),P9-O9)+IF(AND(O9&lt;=hora_final,P9&gt;hora_final),hora_final-O9)+IF(P9&gt;=hora_inicial,P9-O9-IF(O9&lt;=hora_inicial,hora_inicial-O9)),IF(AND(O9&lt;hora_inicial,P9&lt;hora_inicial,P9&lt;O9,ISNUMBER(O9),ISNUMBER(P9)),MOD(P9-hora_inicial,1),0)))))</f>
        <v>0</v>
      </c>
      <c r="S9" s="16">
        <f>R9*(1+$X$10)</f>
        <v>0</v>
      </c>
      <c r="T9" s="12">
        <f>S9*$X$7*$X$11*24</f>
        <v>0</v>
      </c>
      <c r="U9" s="12">
        <f>$S9*$X$7*(1+$X$11)*24</f>
        <v>0</v>
      </c>
      <c r="W9" s="6" t="s">
        <v>6</v>
      </c>
      <c r="X9" s="6">
        <v>4.1666666666666664E-2</v>
      </c>
    </row>
    <row r="10" spans="1:24" x14ac:dyDescent="0.3">
      <c r="A10" s="23">
        <f>BD!A3</f>
        <v>0</v>
      </c>
      <c r="B10" s="27">
        <f>BD!B3</f>
        <v>0</v>
      </c>
      <c r="D10" s="32" t="str">
        <f>_xlfn.XLOOKUP($A10,BD!$A:$A,BD!$C:$C,"00:00")</f>
        <v>00:00</v>
      </c>
      <c r="E10" s="33" t="str">
        <f>_xlfn.XLOOKUP($A10,BD!A:A,BD!$D:$D,"00:00")</f>
        <v>00:00</v>
      </c>
      <c r="F10" s="66">
        <f t="shared" ref="F10:F39" si="1">IFERROR(E10-D10,"00:00")</f>
        <v>0</v>
      </c>
      <c r="G10" s="37" t="str">
        <f>_xlfn.XLOOKUP($A10,BD!$A:$A,BD!$E:$E,"00:00")</f>
        <v>00:00</v>
      </c>
      <c r="H10" s="33" t="str">
        <f>_xlfn.XLOOKUP(A10,BD!$A:$A,BD!$F:$F,"00:00")</f>
        <v>00:00</v>
      </c>
      <c r="I10" s="58">
        <f t="shared" ref="I10:I39" si="2">IFERROR(H10-G10,"")</f>
        <v>0</v>
      </c>
      <c r="J10" s="40"/>
      <c r="K10" s="40">
        <f t="shared" ref="K10:K39" si="3">IFERROR(I10+F10,"00:00")</f>
        <v>0</v>
      </c>
      <c r="L10" s="40">
        <f t="shared" si="0"/>
        <v>0</v>
      </c>
      <c r="M10" s="44">
        <f t="shared" ref="M10:M39" si="4">(K10-L10)</f>
        <v>0</v>
      </c>
      <c r="N10" s="40"/>
      <c r="O10" s="32" t="str">
        <f>_xlfn.XLOOKUP($A10,BD!$A:$A,BD!$G:$G,"00:00")</f>
        <v>00:00</v>
      </c>
      <c r="P10" s="63" t="str">
        <f>_xlfn.XLOOKUP($A10,BD!$A:$A,BD!$H:$H,"00:00")</f>
        <v>00:00</v>
      </c>
      <c r="Q10" s="44">
        <f t="shared" ref="Q10:Q23" si="5">(P10-O10+(P10&lt;O10))</f>
        <v>0</v>
      </c>
      <c r="R10" s="24">
        <f t="shared" ref="R10:R23" si="6">IF(ISTEXT(O10),0,IF(AND(O10&gt;=P10,O10&lt;=hora_inicial,O10&lt;&gt;0,P10&lt;&gt;0),MOD(hora_final-hora_inicial,1)-IF(P10&lt;=hora_final,hora_final-P10)+IF(O10&lt;=hora_final,hora_final-O10),IF(AND(O10&gt;=P10,O10&gt;hora_inicial,O10&lt;&gt;0,P10&lt;&gt;0),MOD(hora_final-hora_inicial,1)-(O10-hora_inicial)+IF(P10&gt;=hora_inicial,P10-hora_inicial)-IF(P10&lt;hora_final,hora_final-P10),IF(AND(O10&lt;P10,ISNUMBER(O10),P10&lt;&gt;0),0+IF(AND(O10&lt;=hora_final,P10&lt;=hora_final),P10-O10)+IF(AND(O10&lt;=hora_final,P10&gt;hora_final),hora_final-O10)+IF(P10&gt;=hora_inicial,P10-O10-IF(O10&lt;=hora_inicial,hora_inicial-O10)),IF(AND(O10&lt;hora_inicial,P10&lt;hora_inicial,P10&lt;O10,ISNUMBER(O10),ISNUMBER(P10)),MOD(P10-hora_inicial,1),0)))))</f>
        <v>0</v>
      </c>
      <c r="S10" s="16">
        <f t="shared" ref="S10:S23" si="7">R10*(1+$X$10)</f>
        <v>0</v>
      </c>
      <c r="T10" s="12">
        <f t="shared" ref="T10:T23" si="8">S10*$X$7*$X$11*24</f>
        <v>0</v>
      </c>
      <c r="U10" s="12">
        <f t="shared" ref="U10:U23" si="9">$S10*$X$7*(1+$X$11)*24</f>
        <v>0</v>
      </c>
      <c r="V10" s="4"/>
      <c r="W10" s="6" t="s">
        <v>10</v>
      </c>
      <c r="X10" s="11">
        <f>1-(X9/X8)</f>
        <v>0</v>
      </c>
    </row>
    <row r="11" spans="1:24" x14ac:dyDescent="0.3">
      <c r="A11" s="23">
        <f>BD!A4</f>
        <v>0</v>
      </c>
      <c r="B11" s="27">
        <f>BD!B4</f>
        <v>0</v>
      </c>
      <c r="D11" s="32" t="str">
        <f>_xlfn.XLOOKUP($A11,BD!$A:$A,BD!$C:$C,"00:00")</f>
        <v>00:00</v>
      </c>
      <c r="E11" s="33" t="str">
        <f>_xlfn.XLOOKUP($A11,BD!A:A,BD!$D:$D,"00:00")</f>
        <v>00:00</v>
      </c>
      <c r="F11" s="66">
        <f t="shared" si="1"/>
        <v>0</v>
      </c>
      <c r="G11" s="37" t="str">
        <f>_xlfn.XLOOKUP($A11,BD!$A:$A,BD!$E:$E,"00:00")</f>
        <v>00:00</v>
      </c>
      <c r="H11" s="33" t="str">
        <f>_xlfn.XLOOKUP(A11,BD!$A:$A,BD!$F:$F,"00:00")</f>
        <v>00:00</v>
      </c>
      <c r="I11" s="58">
        <f t="shared" si="2"/>
        <v>0</v>
      </c>
      <c r="J11" s="40"/>
      <c r="K11" s="40">
        <f t="shared" si="3"/>
        <v>0</v>
      </c>
      <c r="L11" s="40">
        <f t="shared" si="0"/>
        <v>0</v>
      </c>
      <c r="M11" s="44">
        <f t="shared" si="4"/>
        <v>0</v>
      </c>
      <c r="N11" s="40"/>
      <c r="O11" s="32" t="str">
        <f>_xlfn.XLOOKUP($A11,BD!$A:$A,BD!$G:$G,"00:00")</f>
        <v>00:00</v>
      </c>
      <c r="P11" s="63" t="str">
        <f>_xlfn.XLOOKUP($A11,BD!$A:$A,BD!$H:$H,"00:00")</f>
        <v>00:00</v>
      </c>
      <c r="Q11" s="44">
        <f t="shared" si="5"/>
        <v>0</v>
      </c>
      <c r="R11" s="24">
        <f t="shared" si="6"/>
        <v>0</v>
      </c>
      <c r="S11" s="16">
        <f t="shared" si="7"/>
        <v>0</v>
      </c>
      <c r="T11" s="12">
        <f t="shared" si="8"/>
        <v>0</v>
      </c>
      <c r="U11" s="12">
        <f t="shared" si="9"/>
        <v>0</v>
      </c>
      <c r="V11" s="3"/>
      <c r="W11" s="6" t="s">
        <v>2</v>
      </c>
      <c r="X11" s="11">
        <v>0.2</v>
      </c>
    </row>
    <row r="12" spans="1:24" x14ac:dyDescent="0.3">
      <c r="A12" s="23">
        <f>BD!A5</f>
        <v>0</v>
      </c>
      <c r="B12" s="27">
        <f>BD!B5</f>
        <v>0</v>
      </c>
      <c r="D12" s="32" t="str">
        <f>_xlfn.XLOOKUP($A12,BD!$A:$A,BD!$C:$C,"00:00")</f>
        <v>00:00</v>
      </c>
      <c r="E12" s="33" t="str">
        <f>_xlfn.XLOOKUP($A12,BD!A:A,BD!$D:$D,"00:00")</f>
        <v>00:00</v>
      </c>
      <c r="F12" s="66">
        <f t="shared" si="1"/>
        <v>0</v>
      </c>
      <c r="G12" s="37" t="str">
        <f>_xlfn.XLOOKUP($A12,BD!$A:$A,BD!$E:$E,"00:00")</f>
        <v>00:00</v>
      </c>
      <c r="H12" s="33" t="str">
        <f>_xlfn.XLOOKUP(A12,BD!$A:$A,BD!$F:$F,"00:00")</f>
        <v>00:00</v>
      </c>
      <c r="I12" s="58">
        <f t="shared" si="2"/>
        <v>0</v>
      </c>
      <c r="J12" s="40"/>
      <c r="K12" s="40">
        <f t="shared" si="3"/>
        <v>0</v>
      </c>
      <c r="L12" s="40">
        <f t="shared" si="0"/>
        <v>0</v>
      </c>
      <c r="M12" s="44">
        <f t="shared" si="4"/>
        <v>0</v>
      </c>
      <c r="N12" s="40"/>
      <c r="O12" s="32" t="str">
        <f>_xlfn.XLOOKUP($A12,BD!$A:$A,BD!$G:$G,"00:00")</f>
        <v>00:00</v>
      </c>
      <c r="P12" s="63" t="str">
        <f>_xlfn.XLOOKUP($A12,BD!$A:$A,BD!$H:$H,"00:00")</f>
        <v>00:00</v>
      </c>
      <c r="Q12" s="44">
        <f t="shared" si="5"/>
        <v>0</v>
      </c>
      <c r="R12" s="24">
        <f t="shared" si="6"/>
        <v>0</v>
      </c>
      <c r="S12" s="16">
        <f t="shared" si="7"/>
        <v>0</v>
      </c>
      <c r="T12" s="12">
        <f t="shared" si="8"/>
        <v>0</v>
      </c>
      <c r="U12" s="12">
        <f t="shared" si="9"/>
        <v>0</v>
      </c>
      <c r="V12" s="3"/>
    </row>
    <row r="13" spans="1:24" x14ac:dyDescent="0.3">
      <c r="A13" s="23">
        <f>BD!A6</f>
        <v>0</v>
      </c>
      <c r="B13" s="27">
        <f>BD!B6</f>
        <v>0</v>
      </c>
      <c r="D13" s="32" t="str">
        <f>_xlfn.XLOOKUP($A13,BD!$A:$A,BD!$C:$C,"00:00")</f>
        <v>00:00</v>
      </c>
      <c r="E13" s="33" t="str">
        <f>_xlfn.XLOOKUP($A13,BD!A:A,BD!$D:$D,"00:00")</f>
        <v>00:00</v>
      </c>
      <c r="F13" s="66">
        <f t="shared" si="1"/>
        <v>0</v>
      </c>
      <c r="G13" s="37" t="str">
        <f>_xlfn.XLOOKUP($A13,BD!$A:$A,BD!$E:$E,"00:00")</f>
        <v>00:00</v>
      </c>
      <c r="H13" s="33" t="str">
        <f>_xlfn.XLOOKUP(A13,BD!$A:$A,BD!$F:$F,"00:00")</f>
        <v>00:00</v>
      </c>
      <c r="I13" s="58">
        <f t="shared" si="2"/>
        <v>0</v>
      </c>
      <c r="J13" s="40"/>
      <c r="K13" s="40">
        <f t="shared" si="3"/>
        <v>0</v>
      </c>
      <c r="L13" s="40">
        <f t="shared" si="0"/>
        <v>0</v>
      </c>
      <c r="M13" s="44">
        <f t="shared" si="4"/>
        <v>0</v>
      </c>
      <c r="N13" s="40"/>
      <c r="O13" s="32" t="str">
        <f>_xlfn.XLOOKUP($A13,BD!$A:$A,BD!$G:$G,"00:00")</f>
        <v>00:00</v>
      </c>
      <c r="P13" s="63" t="str">
        <f>_xlfn.XLOOKUP($A13,BD!$A:$A,BD!$H:$H,"00:00")</f>
        <v>00:00</v>
      </c>
      <c r="Q13" s="44">
        <f t="shared" si="5"/>
        <v>0</v>
      </c>
      <c r="R13" s="24">
        <f t="shared" si="6"/>
        <v>0</v>
      </c>
      <c r="S13" s="16">
        <f t="shared" si="7"/>
        <v>0</v>
      </c>
      <c r="T13" s="12">
        <f t="shared" si="8"/>
        <v>0</v>
      </c>
      <c r="U13" s="12">
        <f t="shared" si="9"/>
        <v>0</v>
      </c>
      <c r="V13" s="3"/>
    </row>
    <row r="14" spans="1:24" x14ac:dyDescent="0.3">
      <c r="A14" s="23">
        <f>BD!A7</f>
        <v>0</v>
      </c>
      <c r="B14" s="27">
        <f>BD!B7</f>
        <v>0</v>
      </c>
      <c r="D14" s="32" t="str">
        <f>_xlfn.XLOOKUP($A14,BD!$A:$A,BD!$C:$C,"00:00")</f>
        <v>00:00</v>
      </c>
      <c r="E14" s="33" t="str">
        <f>_xlfn.XLOOKUP($A14,BD!A:A,BD!$D:$D,"00:00")</f>
        <v>00:00</v>
      </c>
      <c r="F14" s="66">
        <f t="shared" si="1"/>
        <v>0</v>
      </c>
      <c r="G14" s="37" t="str">
        <f>_xlfn.XLOOKUP($A14,BD!$A:$A,BD!$E:$E,"00:00")</f>
        <v>00:00</v>
      </c>
      <c r="H14" s="33" t="str">
        <f>_xlfn.XLOOKUP(A14,BD!$A:$A,BD!$F:$F,"00:00")</f>
        <v>00:00</v>
      </c>
      <c r="I14" s="58">
        <f t="shared" si="2"/>
        <v>0</v>
      </c>
      <c r="J14" s="40"/>
      <c r="K14" s="40">
        <f t="shared" si="3"/>
        <v>0</v>
      </c>
      <c r="L14" s="40">
        <f>SUM(IF(B14="SAB","4:00:00")+
IF(B14="dom","8:00:00"),
IF(B14="seg","8:00:00"),
IF(B14="ter","8:00:00"),
IF(B14="qua","8:00:00"),
IF(B14="qui","8:00:00"),
IF(B14="sex","8:00:00")
)</f>
        <v>0</v>
      </c>
      <c r="M14" s="44">
        <f t="shared" si="4"/>
        <v>0</v>
      </c>
      <c r="N14" s="40"/>
      <c r="O14" s="32" t="str">
        <f>_xlfn.XLOOKUP($A14,BD!$A:$A,BD!$G:$G,"00:00")</f>
        <v>00:00</v>
      </c>
      <c r="P14" s="63" t="str">
        <f>_xlfn.XLOOKUP($A14,BD!$A:$A,BD!$H:$H,"00:00")</f>
        <v>00:00</v>
      </c>
      <c r="Q14" s="44">
        <f t="shared" si="5"/>
        <v>0</v>
      </c>
      <c r="R14" s="24">
        <f t="shared" si="6"/>
        <v>0</v>
      </c>
      <c r="S14" s="16">
        <f t="shared" si="7"/>
        <v>0</v>
      </c>
      <c r="T14" s="12">
        <f t="shared" si="8"/>
        <v>0</v>
      </c>
      <c r="U14" s="12">
        <f t="shared" si="9"/>
        <v>0</v>
      </c>
      <c r="V14" s="3"/>
    </row>
    <row r="15" spans="1:24" x14ac:dyDescent="0.3">
      <c r="A15" s="23">
        <f>BD!A8</f>
        <v>0</v>
      </c>
      <c r="B15" s="27">
        <f>BD!B8</f>
        <v>0</v>
      </c>
      <c r="D15" s="32" t="str">
        <f>_xlfn.XLOOKUP($A15,BD!$A:$A,BD!$C:$C,"00:00")</f>
        <v>00:00</v>
      </c>
      <c r="E15" s="33" t="str">
        <f>_xlfn.XLOOKUP($A15,BD!A:A,BD!$D:$D,"00:00")</f>
        <v>00:00</v>
      </c>
      <c r="F15" s="66">
        <f t="shared" si="1"/>
        <v>0</v>
      </c>
      <c r="G15" s="37" t="str">
        <f>_xlfn.XLOOKUP($A15,BD!$A:$A,BD!$E:$E,"00:00")</f>
        <v>00:00</v>
      </c>
      <c r="H15" s="33" t="str">
        <f>_xlfn.XLOOKUP(A15,BD!$A:$A,BD!$F:$F,"00:00")</f>
        <v>00:00</v>
      </c>
      <c r="I15" s="58">
        <f t="shared" si="2"/>
        <v>0</v>
      </c>
      <c r="J15" s="40"/>
      <c r="K15" s="40">
        <f t="shared" si="3"/>
        <v>0</v>
      </c>
      <c r="L15" s="40">
        <f t="shared" ref="L15:L39" si="10">SUM(IF(B15="SAB","4:00:00")+
IF(B15="dom","8:00:00"),
IF(B15="seg","8:00:00"),
IF(B15="ter","8:00:00"),
IF(B15="qua","8:00:00"),
IF(B15="qui","8:00:00"),
IF(B15="sex","8:00:00")
)</f>
        <v>0</v>
      </c>
      <c r="M15" s="44">
        <f t="shared" si="4"/>
        <v>0</v>
      </c>
      <c r="N15" s="40"/>
      <c r="O15" s="32" t="str">
        <f>_xlfn.XLOOKUP($A15,BD!$A:$A,BD!$G:$G,"00:00")</f>
        <v>00:00</v>
      </c>
      <c r="P15" s="63" t="str">
        <f>_xlfn.XLOOKUP($A15,BD!$A:$A,BD!$H:$H,"00:00")</f>
        <v>00:00</v>
      </c>
      <c r="Q15" s="44">
        <f t="shared" si="5"/>
        <v>0</v>
      </c>
      <c r="R15" s="24">
        <f t="shared" si="6"/>
        <v>0</v>
      </c>
      <c r="S15" s="16">
        <f t="shared" si="7"/>
        <v>0</v>
      </c>
      <c r="T15" s="12">
        <f t="shared" si="8"/>
        <v>0</v>
      </c>
      <c r="U15" s="12">
        <f t="shared" si="9"/>
        <v>0</v>
      </c>
      <c r="V15" s="3"/>
    </row>
    <row r="16" spans="1:24" x14ac:dyDescent="0.3">
      <c r="A16" s="23">
        <f>BD!A9</f>
        <v>0</v>
      </c>
      <c r="B16" s="27">
        <f>BD!B9</f>
        <v>0</v>
      </c>
      <c r="D16" s="32" t="str">
        <f>_xlfn.XLOOKUP($A16,BD!$A:$A,BD!$C:$C,"00:00")</f>
        <v>00:00</v>
      </c>
      <c r="E16" s="33" t="str">
        <f>_xlfn.XLOOKUP($A16,BD!A:A,BD!$D:$D,"00:00")</f>
        <v>00:00</v>
      </c>
      <c r="F16" s="66">
        <f t="shared" si="1"/>
        <v>0</v>
      </c>
      <c r="G16" s="37" t="str">
        <f>_xlfn.XLOOKUP($A16,BD!$A:$A,BD!$E:$E,"00:00")</f>
        <v>00:00</v>
      </c>
      <c r="H16" s="33" t="str">
        <f>_xlfn.XLOOKUP(A16,BD!$A:$A,BD!$F:$F,"00:00")</f>
        <v>00:00</v>
      </c>
      <c r="I16" s="58">
        <f t="shared" si="2"/>
        <v>0</v>
      </c>
      <c r="J16" s="40"/>
      <c r="K16" s="40">
        <f t="shared" si="3"/>
        <v>0</v>
      </c>
      <c r="L16" s="40">
        <f t="shared" si="10"/>
        <v>0</v>
      </c>
      <c r="M16" s="44">
        <f t="shared" si="4"/>
        <v>0</v>
      </c>
      <c r="N16" s="40"/>
      <c r="O16" s="32" t="str">
        <f>_xlfn.XLOOKUP($A16,BD!$A:$A,BD!$G:$G,"00:00")</f>
        <v>00:00</v>
      </c>
      <c r="P16" s="63" t="str">
        <f>_xlfn.XLOOKUP($A16,BD!$A:$A,BD!$H:$H,"00:00")</f>
        <v>00:00</v>
      </c>
      <c r="Q16" s="44">
        <f t="shared" si="5"/>
        <v>0</v>
      </c>
      <c r="R16" s="24">
        <f t="shared" si="6"/>
        <v>0</v>
      </c>
      <c r="S16" s="16">
        <f t="shared" si="7"/>
        <v>0</v>
      </c>
      <c r="T16" s="12">
        <f t="shared" si="8"/>
        <v>0</v>
      </c>
      <c r="U16" s="12">
        <f t="shared" si="9"/>
        <v>0</v>
      </c>
      <c r="V16" s="3"/>
    </row>
    <row r="17" spans="1:22" x14ac:dyDescent="0.3">
      <c r="A17" s="23">
        <f>BD!A10</f>
        <v>0</v>
      </c>
      <c r="B17" s="27">
        <f>BD!B10</f>
        <v>0</v>
      </c>
      <c r="D17" s="32" t="str">
        <f>_xlfn.XLOOKUP($A17,BD!$A:$A,BD!$C:$C,"00:00")</f>
        <v>00:00</v>
      </c>
      <c r="E17" s="33" t="str">
        <f>_xlfn.XLOOKUP($A17,BD!A:A,BD!$D:$D,"00:00")</f>
        <v>00:00</v>
      </c>
      <c r="F17" s="66">
        <f t="shared" si="1"/>
        <v>0</v>
      </c>
      <c r="G17" s="37" t="str">
        <f>_xlfn.XLOOKUP($A17,BD!$A:$A,BD!$E:$E,"00:00")</f>
        <v>00:00</v>
      </c>
      <c r="H17" s="33" t="str">
        <f>_xlfn.XLOOKUP(A17,BD!$A:$A,BD!$F:$F,"00:00")</f>
        <v>00:00</v>
      </c>
      <c r="I17" s="58">
        <f t="shared" si="2"/>
        <v>0</v>
      </c>
      <c r="J17" s="40"/>
      <c r="K17" s="40">
        <f t="shared" si="3"/>
        <v>0</v>
      </c>
      <c r="L17" s="40">
        <f t="shared" si="10"/>
        <v>0</v>
      </c>
      <c r="M17" s="44">
        <f t="shared" si="4"/>
        <v>0</v>
      </c>
      <c r="N17" s="40"/>
      <c r="O17" s="32" t="str">
        <f>_xlfn.XLOOKUP($A17,BD!$A:$A,BD!$G:$G,"00:00")</f>
        <v>00:00</v>
      </c>
      <c r="P17" s="63" t="str">
        <f>_xlfn.XLOOKUP($A17,BD!$A:$A,BD!$H:$H,"00:00")</f>
        <v>00:00</v>
      </c>
      <c r="Q17" s="44">
        <f t="shared" si="5"/>
        <v>0</v>
      </c>
      <c r="R17" s="24">
        <f t="shared" si="6"/>
        <v>0</v>
      </c>
      <c r="S17" s="16">
        <f t="shared" si="7"/>
        <v>0</v>
      </c>
      <c r="T17" s="12">
        <f t="shared" si="8"/>
        <v>0</v>
      </c>
      <c r="U17" s="12">
        <f t="shared" si="9"/>
        <v>0</v>
      </c>
      <c r="V17" s="3"/>
    </row>
    <row r="18" spans="1:22" x14ac:dyDescent="0.3">
      <c r="A18" s="23">
        <f>BD!A11</f>
        <v>0</v>
      </c>
      <c r="B18" s="27">
        <f>BD!B11</f>
        <v>0</v>
      </c>
      <c r="D18" s="32" t="str">
        <f>_xlfn.XLOOKUP($A18,BD!$A:$A,BD!$C:$C,"00:00")</f>
        <v>00:00</v>
      </c>
      <c r="E18" s="33" t="str">
        <f>_xlfn.XLOOKUP($A18,BD!A:A,BD!$D:$D,"00:00")</f>
        <v>00:00</v>
      </c>
      <c r="F18" s="66">
        <f t="shared" si="1"/>
        <v>0</v>
      </c>
      <c r="G18" s="37" t="str">
        <f>_xlfn.XLOOKUP($A18,BD!$A:$A,BD!$E:$E,"00:00")</f>
        <v>00:00</v>
      </c>
      <c r="H18" s="33" t="str">
        <f>_xlfn.XLOOKUP(A18,BD!$A:$A,BD!$F:$F,"00:00")</f>
        <v>00:00</v>
      </c>
      <c r="I18" s="58">
        <f t="shared" si="2"/>
        <v>0</v>
      </c>
      <c r="J18" s="40"/>
      <c r="K18" s="40">
        <f t="shared" si="3"/>
        <v>0</v>
      </c>
      <c r="L18" s="40">
        <f t="shared" si="10"/>
        <v>0</v>
      </c>
      <c r="M18" s="44">
        <f t="shared" si="4"/>
        <v>0</v>
      </c>
      <c r="N18" s="40"/>
      <c r="O18" s="32" t="str">
        <f>_xlfn.XLOOKUP($A18,BD!$A:$A,BD!$G:$G,"00:00")</f>
        <v>00:00</v>
      </c>
      <c r="P18" s="63" t="str">
        <f>_xlfn.XLOOKUP($A18,BD!$A:$A,BD!$H:$H,"00:00")</f>
        <v>00:00</v>
      </c>
      <c r="Q18" s="44">
        <f t="shared" si="5"/>
        <v>0</v>
      </c>
      <c r="R18" s="24">
        <f t="shared" si="6"/>
        <v>0</v>
      </c>
      <c r="S18" s="16">
        <f t="shared" si="7"/>
        <v>0</v>
      </c>
      <c r="T18" s="12">
        <f t="shared" si="8"/>
        <v>0</v>
      </c>
      <c r="U18" s="12">
        <f t="shared" si="9"/>
        <v>0</v>
      </c>
      <c r="V18" s="3"/>
    </row>
    <row r="19" spans="1:22" x14ac:dyDescent="0.3">
      <c r="A19" s="23">
        <f>BD!A12</f>
        <v>0</v>
      </c>
      <c r="B19" s="27">
        <f>BD!B12</f>
        <v>0</v>
      </c>
      <c r="D19" s="32" t="str">
        <f>_xlfn.XLOOKUP($A19,BD!$A:$A,BD!$C:$C,"00:00")</f>
        <v>00:00</v>
      </c>
      <c r="E19" s="33" t="str">
        <f>_xlfn.XLOOKUP($A19,BD!A:A,BD!$D:$D,"00:00")</f>
        <v>00:00</v>
      </c>
      <c r="F19" s="66">
        <f t="shared" si="1"/>
        <v>0</v>
      </c>
      <c r="G19" s="37" t="str">
        <f>_xlfn.XLOOKUP($A19,BD!$A:$A,BD!$E:$E,"00:00")</f>
        <v>00:00</v>
      </c>
      <c r="H19" s="33" t="str">
        <f>_xlfn.XLOOKUP(A19,BD!$A:$A,BD!$F:$F,"00:00")</f>
        <v>00:00</v>
      </c>
      <c r="I19" s="58">
        <f t="shared" si="2"/>
        <v>0</v>
      </c>
      <c r="J19" s="40"/>
      <c r="K19" s="40">
        <f t="shared" si="3"/>
        <v>0</v>
      </c>
      <c r="L19" s="40">
        <f t="shared" si="10"/>
        <v>0</v>
      </c>
      <c r="M19" s="44">
        <f t="shared" si="4"/>
        <v>0</v>
      </c>
      <c r="N19" s="40"/>
      <c r="O19" s="32" t="str">
        <f>_xlfn.XLOOKUP($A19,BD!$A:$A,BD!$G:$G,"00:00")</f>
        <v>00:00</v>
      </c>
      <c r="P19" s="63" t="str">
        <f>_xlfn.XLOOKUP($A19,BD!$A:$A,BD!$H:$H,"00:00")</f>
        <v>00:00</v>
      </c>
      <c r="Q19" s="44">
        <f t="shared" si="5"/>
        <v>0</v>
      </c>
      <c r="R19" s="24">
        <f t="shared" si="6"/>
        <v>0</v>
      </c>
      <c r="S19" s="16">
        <f t="shared" si="7"/>
        <v>0</v>
      </c>
      <c r="T19" s="12">
        <f t="shared" si="8"/>
        <v>0</v>
      </c>
      <c r="U19" s="12">
        <f t="shared" si="9"/>
        <v>0</v>
      </c>
      <c r="V19" s="3"/>
    </row>
    <row r="20" spans="1:22" x14ac:dyDescent="0.3">
      <c r="A20" s="23">
        <f>BD!A13</f>
        <v>0</v>
      </c>
      <c r="B20" s="27">
        <f>BD!B13</f>
        <v>0</v>
      </c>
      <c r="D20" s="32" t="str">
        <f>_xlfn.XLOOKUP($A20,BD!$A:$A,BD!$C:$C,"00:00")</f>
        <v>00:00</v>
      </c>
      <c r="E20" s="33" t="str">
        <f>_xlfn.XLOOKUP($A20,BD!A:A,BD!$D:$D,"00:00")</f>
        <v>00:00</v>
      </c>
      <c r="F20" s="66">
        <f t="shared" si="1"/>
        <v>0</v>
      </c>
      <c r="G20" s="37" t="str">
        <f>_xlfn.XLOOKUP($A20,BD!$A:$A,BD!$E:$E,"00:00")</f>
        <v>00:00</v>
      </c>
      <c r="H20" s="33" t="str">
        <f>_xlfn.XLOOKUP(A20,BD!$A:$A,BD!$F:$F,"00:00")</f>
        <v>00:00</v>
      </c>
      <c r="I20" s="58">
        <f t="shared" si="2"/>
        <v>0</v>
      </c>
      <c r="J20" s="40"/>
      <c r="K20" s="40">
        <f t="shared" si="3"/>
        <v>0</v>
      </c>
      <c r="L20" s="40">
        <f t="shared" si="10"/>
        <v>0</v>
      </c>
      <c r="M20" s="44">
        <f t="shared" si="4"/>
        <v>0</v>
      </c>
      <c r="N20" s="40"/>
      <c r="O20" s="32" t="str">
        <f>_xlfn.XLOOKUP($A20,BD!$A:$A,BD!$G:$G,"00:00")</f>
        <v>00:00</v>
      </c>
      <c r="P20" s="63" t="str">
        <f>_xlfn.XLOOKUP($A20,BD!$A:$A,BD!$H:$H,"00:00")</f>
        <v>00:00</v>
      </c>
      <c r="Q20" s="44">
        <f t="shared" si="5"/>
        <v>0</v>
      </c>
      <c r="R20" s="24">
        <f t="shared" si="6"/>
        <v>0</v>
      </c>
      <c r="S20" s="16">
        <f t="shared" si="7"/>
        <v>0</v>
      </c>
      <c r="T20" s="12">
        <f t="shared" si="8"/>
        <v>0</v>
      </c>
      <c r="U20" s="12">
        <f t="shared" si="9"/>
        <v>0</v>
      </c>
      <c r="V20" s="3"/>
    </row>
    <row r="21" spans="1:22" x14ac:dyDescent="0.3">
      <c r="A21" s="23">
        <f>BD!A14</f>
        <v>0</v>
      </c>
      <c r="B21" s="27">
        <f>BD!B14</f>
        <v>0</v>
      </c>
      <c r="D21" s="32" t="str">
        <f>_xlfn.XLOOKUP($A21,BD!$A:$A,BD!$C:$C,"00:00")</f>
        <v>00:00</v>
      </c>
      <c r="E21" s="33" t="str">
        <f>_xlfn.XLOOKUP($A21,BD!A:A,BD!$D:$D,"00:00")</f>
        <v>00:00</v>
      </c>
      <c r="F21" s="66">
        <f t="shared" si="1"/>
        <v>0</v>
      </c>
      <c r="G21" s="37" t="str">
        <f>_xlfn.XLOOKUP($A21,BD!$A:$A,BD!$E:$E,"00:00")</f>
        <v>00:00</v>
      </c>
      <c r="H21" s="33" t="str">
        <f>_xlfn.XLOOKUP(A21,BD!$A:$A,BD!$F:$F,"00:00")</f>
        <v>00:00</v>
      </c>
      <c r="I21" s="58">
        <f t="shared" si="2"/>
        <v>0</v>
      </c>
      <c r="J21" s="40"/>
      <c r="K21" s="40">
        <f t="shared" si="3"/>
        <v>0</v>
      </c>
      <c r="L21" s="40">
        <f t="shared" si="10"/>
        <v>0</v>
      </c>
      <c r="M21" s="44">
        <f t="shared" si="4"/>
        <v>0</v>
      </c>
      <c r="N21" s="40"/>
      <c r="O21" s="32" t="str">
        <f>_xlfn.XLOOKUP($A21,BD!$A:$A,BD!$G:$G,"00:00")</f>
        <v>00:00</v>
      </c>
      <c r="P21" s="63" t="str">
        <f>_xlfn.XLOOKUP($A21,BD!$A:$A,BD!$H:$H,"00:00")</f>
        <v>00:00</v>
      </c>
      <c r="Q21" s="44">
        <f t="shared" si="5"/>
        <v>0</v>
      </c>
      <c r="R21" s="24">
        <f t="shared" si="6"/>
        <v>0</v>
      </c>
      <c r="S21" s="16">
        <f t="shared" si="7"/>
        <v>0</v>
      </c>
      <c r="T21" s="12">
        <f t="shared" si="8"/>
        <v>0</v>
      </c>
      <c r="U21" s="12">
        <f t="shared" si="9"/>
        <v>0</v>
      </c>
      <c r="V21" s="3"/>
    </row>
    <row r="22" spans="1:22" x14ac:dyDescent="0.3">
      <c r="A22" s="23">
        <f>BD!A15</f>
        <v>0</v>
      </c>
      <c r="B22" s="27">
        <f>BD!B15</f>
        <v>0</v>
      </c>
      <c r="D22" s="32" t="str">
        <f>_xlfn.XLOOKUP($A22,BD!$A:$A,BD!$C:$C,"00:00")</f>
        <v>00:00</v>
      </c>
      <c r="E22" s="33" t="str">
        <f>_xlfn.XLOOKUP($A22,BD!A:A,BD!$D:$D,"00:00")</f>
        <v>00:00</v>
      </c>
      <c r="F22" s="66">
        <f t="shared" si="1"/>
        <v>0</v>
      </c>
      <c r="G22" s="37" t="str">
        <f>_xlfn.XLOOKUP($A22,BD!$A:$A,BD!$E:$E,"00:00")</f>
        <v>00:00</v>
      </c>
      <c r="H22" s="33" t="str">
        <f>_xlfn.XLOOKUP(A22,BD!$A:$A,BD!$F:$F,"00:00")</f>
        <v>00:00</v>
      </c>
      <c r="I22" s="58">
        <f t="shared" si="2"/>
        <v>0</v>
      </c>
      <c r="J22" s="40"/>
      <c r="K22" s="40">
        <f t="shared" si="3"/>
        <v>0</v>
      </c>
      <c r="L22" s="40">
        <f t="shared" si="10"/>
        <v>0</v>
      </c>
      <c r="M22" s="44">
        <f t="shared" si="4"/>
        <v>0</v>
      </c>
      <c r="N22" s="40"/>
      <c r="O22" s="32" t="str">
        <f>_xlfn.XLOOKUP($A22,BD!$A:$A,BD!$G:$G,"00:00")</f>
        <v>00:00</v>
      </c>
      <c r="P22" s="63" t="str">
        <f>_xlfn.XLOOKUP($A22,BD!$A:$A,BD!$H:$H,"00:00")</f>
        <v>00:00</v>
      </c>
      <c r="Q22" s="44">
        <f t="shared" si="5"/>
        <v>0</v>
      </c>
      <c r="R22" s="24">
        <f t="shared" si="6"/>
        <v>0</v>
      </c>
      <c r="S22" s="16">
        <f t="shared" si="7"/>
        <v>0</v>
      </c>
      <c r="T22" s="12">
        <f t="shared" si="8"/>
        <v>0</v>
      </c>
      <c r="U22" s="12">
        <f t="shared" si="9"/>
        <v>0</v>
      </c>
      <c r="V22" s="3"/>
    </row>
    <row r="23" spans="1:22" x14ac:dyDescent="0.3">
      <c r="A23" s="23">
        <f>BD!A16</f>
        <v>0</v>
      </c>
      <c r="B23" s="27">
        <f>BD!B16</f>
        <v>0</v>
      </c>
      <c r="D23" s="32" t="str">
        <f>_xlfn.XLOOKUP($A23,BD!$A:$A,BD!$C:$C,"00:00")</f>
        <v>00:00</v>
      </c>
      <c r="E23" s="33" t="str">
        <f>_xlfn.XLOOKUP($A23,BD!A:A,BD!$D:$D,"00:00")</f>
        <v>00:00</v>
      </c>
      <c r="F23" s="66">
        <f t="shared" si="1"/>
        <v>0</v>
      </c>
      <c r="G23" s="37" t="str">
        <f>_xlfn.XLOOKUP($A23,BD!$A:$A,BD!$E:$E,"00:00")</f>
        <v>00:00</v>
      </c>
      <c r="H23" s="33" t="str">
        <f>_xlfn.XLOOKUP(A23,BD!$A:$A,BD!$F:$F,"00:00")</f>
        <v>00:00</v>
      </c>
      <c r="I23" s="58">
        <f t="shared" si="2"/>
        <v>0</v>
      </c>
      <c r="J23" s="40"/>
      <c r="K23" s="40">
        <f t="shared" si="3"/>
        <v>0</v>
      </c>
      <c r="L23" s="40">
        <f t="shared" si="10"/>
        <v>0</v>
      </c>
      <c r="M23" s="44">
        <f t="shared" si="4"/>
        <v>0</v>
      </c>
      <c r="N23" s="40"/>
      <c r="O23" s="32" t="str">
        <f>_xlfn.XLOOKUP($A23,BD!$A:$A,BD!$G:$G,"00:00")</f>
        <v>00:00</v>
      </c>
      <c r="P23" s="63" t="str">
        <f>_xlfn.XLOOKUP($A23,BD!$A:$A,BD!$H:$H,"00:00")</f>
        <v>00:00</v>
      </c>
      <c r="Q23" s="44">
        <f t="shared" si="5"/>
        <v>0</v>
      </c>
      <c r="R23" s="24">
        <f t="shared" si="6"/>
        <v>0</v>
      </c>
      <c r="S23" s="16">
        <f t="shared" si="7"/>
        <v>0</v>
      </c>
      <c r="T23" s="12">
        <f t="shared" si="8"/>
        <v>0</v>
      </c>
      <c r="U23" s="12">
        <f t="shared" si="9"/>
        <v>0</v>
      </c>
      <c r="V23" s="3"/>
    </row>
    <row r="24" spans="1:22" x14ac:dyDescent="0.3">
      <c r="A24" s="23">
        <f>BD!A17</f>
        <v>0</v>
      </c>
      <c r="B24" s="27">
        <f>BD!B17</f>
        <v>0</v>
      </c>
      <c r="D24" s="32" t="str">
        <f>_xlfn.XLOOKUP($A24,BD!$A:$A,BD!$C:$C,"00:00")</f>
        <v>00:00</v>
      </c>
      <c r="E24" s="33" t="str">
        <f>_xlfn.XLOOKUP($A24,BD!A:A,BD!$D:$D,"00:00")</f>
        <v>00:00</v>
      </c>
      <c r="F24" s="66">
        <f t="shared" si="1"/>
        <v>0</v>
      </c>
      <c r="G24" s="37" t="str">
        <f>_xlfn.XLOOKUP($A24,BD!$A:$A,BD!$E:$E,"00:00")</f>
        <v>00:00</v>
      </c>
      <c r="H24" s="33" t="str">
        <f>_xlfn.XLOOKUP(A24,BD!$A:$A,BD!$F:$F,"00:00")</f>
        <v>00:00</v>
      </c>
      <c r="I24" s="58">
        <f t="shared" si="2"/>
        <v>0</v>
      </c>
      <c r="J24" s="40"/>
      <c r="K24" s="40">
        <f t="shared" si="3"/>
        <v>0</v>
      </c>
      <c r="L24" s="40">
        <f t="shared" si="10"/>
        <v>0</v>
      </c>
      <c r="M24" s="44">
        <f t="shared" si="4"/>
        <v>0</v>
      </c>
      <c r="N24" s="40"/>
      <c r="O24" s="32" t="str">
        <f>_xlfn.XLOOKUP($A24,BD!$A:$A,BD!$G:$G,"00:00")</f>
        <v>00:00</v>
      </c>
      <c r="P24" s="63" t="str">
        <f>_xlfn.XLOOKUP($A24,BD!$A:$A,BD!$H:$H,"00:00")</f>
        <v>00:00</v>
      </c>
      <c r="Q24" s="44">
        <f t="shared" ref="Q24:Q35" si="11">(P24-O24+(P24&lt;O24))</f>
        <v>0</v>
      </c>
      <c r="R24" s="24">
        <f t="shared" ref="R24:R35" si="12">IF(ISTEXT(O24),0,IF(AND(O24&gt;=P24,O24&lt;=hora_inicial,O24&lt;&gt;0,P24&lt;&gt;0),MOD(hora_final-hora_inicial,1)-IF(P24&lt;=hora_final,hora_final-P24)+IF(O24&lt;=hora_final,hora_final-O24),IF(AND(O24&gt;=P24,O24&gt;hora_inicial,O24&lt;&gt;0,P24&lt;&gt;0),MOD(hora_final-hora_inicial,1)-(O24-hora_inicial)+IF(P24&gt;=hora_inicial,P24-hora_inicial)-IF(P24&lt;hora_final,hora_final-P24),IF(AND(O24&lt;P24,ISNUMBER(O24),P24&lt;&gt;0),0+IF(AND(O24&lt;=hora_final,P24&lt;=hora_final),P24-O24)+IF(AND(O24&lt;=hora_final,P24&gt;hora_final),hora_final-O24)+IF(P24&gt;=hora_inicial,P24-O24-IF(O24&lt;=hora_inicial,hora_inicial-O24)),IF(AND(O24&lt;hora_inicial,P24&lt;hora_inicial,P24&lt;O24,ISNUMBER(O24),ISNUMBER(P24)),MOD(P24-hora_inicial,1),0)))))</f>
        <v>0</v>
      </c>
    </row>
    <row r="25" spans="1:22" x14ac:dyDescent="0.3">
      <c r="A25" s="23">
        <f>BD!A18</f>
        <v>0</v>
      </c>
      <c r="B25" s="27">
        <f>BD!B18</f>
        <v>0</v>
      </c>
      <c r="D25" s="32" t="str">
        <f>_xlfn.XLOOKUP($A25,BD!$A:$A,BD!$C:$C,"00:00")</f>
        <v>00:00</v>
      </c>
      <c r="E25" s="33" t="str">
        <f>_xlfn.XLOOKUP($A25,BD!A:A,BD!$D:$D,"00:00")</f>
        <v>00:00</v>
      </c>
      <c r="F25" s="66">
        <f t="shared" si="1"/>
        <v>0</v>
      </c>
      <c r="G25" s="37" t="str">
        <f>_xlfn.XLOOKUP($A25,BD!$A:$A,BD!$E:$E,"00:00")</f>
        <v>00:00</v>
      </c>
      <c r="H25" s="33" t="str">
        <f>_xlfn.XLOOKUP(A25,BD!$A:$A,BD!$F:$F,"00:00")</f>
        <v>00:00</v>
      </c>
      <c r="I25" s="58">
        <f t="shared" si="2"/>
        <v>0</v>
      </c>
      <c r="J25" s="40"/>
      <c r="K25" s="40">
        <f t="shared" si="3"/>
        <v>0</v>
      </c>
      <c r="L25" s="40">
        <f t="shared" si="10"/>
        <v>0</v>
      </c>
      <c r="M25" s="44">
        <f t="shared" si="4"/>
        <v>0</v>
      </c>
      <c r="N25" s="40"/>
      <c r="O25" s="32" t="str">
        <f>_xlfn.XLOOKUP($A25,BD!$A:$A,BD!$G:$G,"00:00")</f>
        <v>00:00</v>
      </c>
      <c r="P25" s="63" t="str">
        <f>_xlfn.XLOOKUP($A25,BD!$A:$A,BD!$H:$H,"00:00")</f>
        <v>00:00</v>
      </c>
      <c r="Q25" s="44">
        <f t="shared" si="11"/>
        <v>0</v>
      </c>
      <c r="R25" s="24">
        <f t="shared" si="12"/>
        <v>0</v>
      </c>
    </row>
    <row r="26" spans="1:22" x14ac:dyDescent="0.3">
      <c r="A26" s="23">
        <f>BD!A19</f>
        <v>0</v>
      </c>
      <c r="B26" s="27">
        <f>BD!B19</f>
        <v>0</v>
      </c>
      <c r="D26" s="32" t="str">
        <f>_xlfn.XLOOKUP($A26,BD!$A:$A,BD!$C:$C,"00:00")</f>
        <v>00:00</v>
      </c>
      <c r="E26" s="33" t="str">
        <f>_xlfn.XLOOKUP($A26,BD!A:A,BD!$D:$D,"00:00")</f>
        <v>00:00</v>
      </c>
      <c r="F26" s="66">
        <f t="shared" si="1"/>
        <v>0</v>
      </c>
      <c r="G26" s="37" t="str">
        <f>_xlfn.XLOOKUP($A26,BD!$A:$A,BD!$E:$E,"00:00")</f>
        <v>00:00</v>
      </c>
      <c r="H26" s="33" t="str">
        <f>_xlfn.XLOOKUP(A26,BD!$A:$A,BD!$F:$F,"00:00")</f>
        <v>00:00</v>
      </c>
      <c r="I26" s="58">
        <f t="shared" si="2"/>
        <v>0</v>
      </c>
      <c r="J26" s="40"/>
      <c r="K26" s="40">
        <f t="shared" si="3"/>
        <v>0</v>
      </c>
      <c r="L26" s="40">
        <f t="shared" si="10"/>
        <v>0</v>
      </c>
      <c r="M26" s="44">
        <f t="shared" si="4"/>
        <v>0</v>
      </c>
      <c r="N26" s="40"/>
      <c r="O26" s="32" t="str">
        <f>_xlfn.XLOOKUP($A26,BD!$A:$A,BD!$G:$G,"00:00")</f>
        <v>00:00</v>
      </c>
      <c r="P26" s="63" t="str">
        <f>_xlfn.XLOOKUP($A26,BD!$A:$A,BD!$H:$H,"00:00")</f>
        <v>00:00</v>
      </c>
      <c r="Q26" s="44">
        <f t="shared" si="11"/>
        <v>0</v>
      </c>
      <c r="R26" s="24">
        <f t="shared" si="12"/>
        <v>0</v>
      </c>
    </row>
    <row r="27" spans="1:22" x14ac:dyDescent="0.3">
      <c r="A27" s="23">
        <f>BD!A20</f>
        <v>0</v>
      </c>
      <c r="B27" s="27">
        <f>BD!B20</f>
        <v>0</v>
      </c>
      <c r="D27" s="32" t="str">
        <f>_xlfn.XLOOKUP($A27,BD!$A:$A,BD!$C:$C,"00:00")</f>
        <v>00:00</v>
      </c>
      <c r="E27" s="33" t="str">
        <f>_xlfn.XLOOKUP($A27,BD!A:A,BD!$D:$D,"00:00")</f>
        <v>00:00</v>
      </c>
      <c r="F27" s="66">
        <f t="shared" si="1"/>
        <v>0</v>
      </c>
      <c r="G27" s="37" t="str">
        <f>_xlfn.XLOOKUP($A27,BD!$A:$A,BD!$E:$E,"00:00")</f>
        <v>00:00</v>
      </c>
      <c r="H27" s="33" t="str">
        <f>_xlfn.XLOOKUP(A27,BD!$A:$A,BD!$F:$F,"00:00")</f>
        <v>00:00</v>
      </c>
      <c r="I27" s="58">
        <f t="shared" si="2"/>
        <v>0</v>
      </c>
      <c r="J27" s="40"/>
      <c r="K27" s="40">
        <f t="shared" si="3"/>
        <v>0</v>
      </c>
      <c r="L27" s="40">
        <f t="shared" si="10"/>
        <v>0</v>
      </c>
      <c r="M27" s="44">
        <f t="shared" si="4"/>
        <v>0</v>
      </c>
      <c r="N27" s="40"/>
      <c r="O27" s="32" t="str">
        <f>_xlfn.XLOOKUP($A27,BD!$A:$A,BD!$G:$G,"00:00")</f>
        <v>00:00</v>
      </c>
      <c r="P27" s="63" t="str">
        <f>_xlfn.XLOOKUP($A27,BD!$A:$A,BD!$H:$H,"00:00")</f>
        <v>00:00</v>
      </c>
      <c r="Q27" s="44">
        <f t="shared" si="11"/>
        <v>0</v>
      </c>
      <c r="R27" s="24">
        <f t="shared" si="12"/>
        <v>0</v>
      </c>
    </row>
    <row r="28" spans="1:22" x14ac:dyDescent="0.3">
      <c r="A28" s="23">
        <f>BD!A21</f>
        <v>0</v>
      </c>
      <c r="B28" s="27">
        <f>BD!B21</f>
        <v>0</v>
      </c>
      <c r="D28" s="32" t="str">
        <f>_xlfn.XLOOKUP($A28,BD!$A:$A,BD!$C:$C,"00:00")</f>
        <v>00:00</v>
      </c>
      <c r="E28" s="33" t="str">
        <f>_xlfn.XLOOKUP($A28,BD!A:A,BD!$D:$D,"00:00")</f>
        <v>00:00</v>
      </c>
      <c r="F28" s="66">
        <f t="shared" si="1"/>
        <v>0</v>
      </c>
      <c r="G28" s="37" t="str">
        <f>_xlfn.XLOOKUP($A28,BD!$A:$A,BD!$E:$E,"00:00")</f>
        <v>00:00</v>
      </c>
      <c r="H28" s="33" t="str">
        <f>_xlfn.XLOOKUP(A28,BD!$A:$A,BD!$F:$F,"00:00")</f>
        <v>00:00</v>
      </c>
      <c r="I28" s="58">
        <f t="shared" si="2"/>
        <v>0</v>
      </c>
      <c r="J28" s="40"/>
      <c r="K28" s="40">
        <f t="shared" si="3"/>
        <v>0</v>
      </c>
      <c r="L28" s="40">
        <f t="shared" si="10"/>
        <v>0</v>
      </c>
      <c r="M28" s="44">
        <f t="shared" si="4"/>
        <v>0</v>
      </c>
      <c r="N28" s="40"/>
      <c r="O28" s="32" t="str">
        <f>_xlfn.XLOOKUP($A28,BD!$A:$A,BD!$G:$G,"00:00")</f>
        <v>00:00</v>
      </c>
      <c r="P28" s="63" t="str">
        <f>_xlfn.XLOOKUP($A28,BD!$A:$A,BD!$H:$H,"00:00")</f>
        <v>00:00</v>
      </c>
      <c r="Q28" s="44">
        <f t="shared" si="11"/>
        <v>0</v>
      </c>
      <c r="R28" s="24">
        <f t="shared" si="12"/>
        <v>0</v>
      </c>
    </row>
    <row r="29" spans="1:22" x14ac:dyDescent="0.3">
      <c r="A29" s="23">
        <f>BD!A22</f>
        <v>0</v>
      </c>
      <c r="B29" s="27">
        <f>BD!B22</f>
        <v>0</v>
      </c>
      <c r="D29" s="32" t="str">
        <f>_xlfn.XLOOKUP($A29,BD!$A:$A,BD!$C:$C,"00:00")</f>
        <v>00:00</v>
      </c>
      <c r="E29" s="33" t="str">
        <f>_xlfn.XLOOKUP($A29,BD!A:A,BD!$D:$D,"00:00")</f>
        <v>00:00</v>
      </c>
      <c r="F29" s="66">
        <f t="shared" si="1"/>
        <v>0</v>
      </c>
      <c r="G29" s="37" t="str">
        <f>_xlfn.XLOOKUP($A29,BD!$A:$A,BD!$E:$E,"00:00")</f>
        <v>00:00</v>
      </c>
      <c r="H29" s="33" t="str">
        <f>_xlfn.XLOOKUP(A29,BD!$A:$A,BD!$F:$F,"00:00")</f>
        <v>00:00</v>
      </c>
      <c r="I29" s="58">
        <f t="shared" si="2"/>
        <v>0</v>
      </c>
      <c r="J29" s="40"/>
      <c r="K29" s="40">
        <f t="shared" si="3"/>
        <v>0</v>
      </c>
      <c r="L29" s="40">
        <f t="shared" si="10"/>
        <v>0</v>
      </c>
      <c r="M29" s="44">
        <f t="shared" si="4"/>
        <v>0</v>
      </c>
      <c r="N29" s="40"/>
      <c r="O29" s="32" t="str">
        <f>_xlfn.XLOOKUP($A29,BD!$A:$A,BD!$G:$G,"00:00")</f>
        <v>00:00</v>
      </c>
      <c r="P29" s="63" t="str">
        <f>_xlfn.XLOOKUP($A29,BD!$A:$A,BD!$H:$H,"00:00")</f>
        <v>00:00</v>
      </c>
      <c r="Q29" s="44">
        <f t="shared" si="11"/>
        <v>0</v>
      </c>
      <c r="R29" s="24">
        <f t="shared" si="12"/>
        <v>0</v>
      </c>
    </row>
    <row r="30" spans="1:22" x14ac:dyDescent="0.3">
      <c r="A30" s="23">
        <f>BD!A23</f>
        <v>0</v>
      </c>
      <c r="B30" s="27">
        <f>BD!B23</f>
        <v>0</v>
      </c>
      <c r="D30" s="32" t="str">
        <f>_xlfn.XLOOKUP($A30,BD!$A:$A,BD!$C:$C,"00:00")</f>
        <v>00:00</v>
      </c>
      <c r="E30" s="33" t="str">
        <f>_xlfn.XLOOKUP($A30,BD!A:A,BD!$D:$D,"00:00")</f>
        <v>00:00</v>
      </c>
      <c r="F30" s="66">
        <f t="shared" si="1"/>
        <v>0</v>
      </c>
      <c r="G30" s="37" t="str">
        <f>_xlfn.XLOOKUP($A30,BD!$A:$A,BD!$E:$E,"00:00")</f>
        <v>00:00</v>
      </c>
      <c r="H30" s="33" t="str">
        <f>_xlfn.XLOOKUP(A30,BD!$A:$A,BD!$F:$F,"00:00")</f>
        <v>00:00</v>
      </c>
      <c r="I30" s="58">
        <f t="shared" si="2"/>
        <v>0</v>
      </c>
      <c r="J30" s="40"/>
      <c r="K30" s="40">
        <f t="shared" si="3"/>
        <v>0</v>
      </c>
      <c r="L30" s="40">
        <f t="shared" si="10"/>
        <v>0</v>
      </c>
      <c r="M30" s="44">
        <f t="shared" si="4"/>
        <v>0</v>
      </c>
      <c r="N30" s="40"/>
      <c r="O30" s="32" t="str">
        <f>_xlfn.XLOOKUP($A30,BD!$A:$A,BD!$G:$G,"00:00")</f>
        <v>00:00</v>
      </c>
      <c r="P30" s="63" t="str">
        <f>_xlfn.XLOOKUP($A30,BD!$A:$A,BD!$H:$H,"00:00")</f>
        <v>00:00</v>
      </c>
      <c r="Q30" s="44">
        <f t="shared" si="11"/>
        <v>0</v>
      </c>
      <c r="R30" s="24">
        <f t="shared" si="12"/>
        <v>0</v>
      </c>
    </row>
    <row r="31" spans="1:22" x14ac:dyDescent="0.3">
      <c r="A31" s="23">
        <f>BD!A24</f>
        <v>0</v>
      </c>
      <c r="B31" s="27">
        <f>BD!B24</f>
        <v>0</v>
      </c>
      <c r="D31" s="32" t="str">
        <f>_xlfn.XLOOKUP($A31,BD!$A:$A,BD!$C:$C,"00:00")</f>
        <v>00:00</v>
      </c>
      <c r="E31" s="33" t="str">
        <f>_xlfn.XLOOKUP($A31,BD!A:A,BD!$D:$D,"00:00")</f>
        <v>00:00</v>
      </c>
      <c r="F31" s="66">
        <f t="shared" si="1"/>
        <v>0</v>
      </c>
      <c r="G31" s="37" t="str">
        <f>_xlfn.XLOOKUP($A31,BD!$A:$A,BD!$E:$E,"00:00")</f>
        <v>00:00</v>
      </c>
      <c r="H31" s="33" t="str">
        <f>_xlfn.XLOOKUP(A31,BD!$A:$A,BD!$F:$F,"00:00")</f>
        <v>00:00</v>
      </c>
      <c r="I31" s="58">
        <f t="shared" si="2"/>
        <v>0</v>
      </c>
      <c r="J31" s="40"/>
      <c r="K31" s="40">
        <f t="shared" si="3"/>
        <v>0</v>
      </c>
      <c r="L31" s="40">
        <f t="shared" si="10"/>
        <v>0</v>
      </c>
      <c r="M31" s="44">
        <f t="shared" si="4"/>
        <v>0</v>
      </c>
      <c r="N31" s="40"/>
      <c r="O31" s="32" t="str">
        <f>_xlfn.XLOOKUP($A31,BD!$A:$A,BD!$G:$G,"00:00")</f>
        <v>00:00</v>
      </c>
      <c r="P31" s="63" t="str">
        <f>_xlfn.XLOOKUP($A31,BD!$A:$A,BD!$H:$H,"00:00")</f>
        <v>00:00</v>
      </c>
      <c r="Q31" s="44">
        <f t="shared" si="11"/>
        <v>0</v>
      </c>
      <c r="R31" s="24">
        <f t="shared" si="12"/>
        <v>0</v>
      </c>
    </row>
    <row r="32" spans="1:22" x14ac:dyDescent="0.3">
      <c r="A32" s="23">
        <f>BD!A25</f>
        <v>0</v>
      </c>
      <c r="B32" s="27">
        <f>BD!B25</f>
        <v>0</v>
      </c>
      <c r="D32" s="32" t="str">
        <f>_xlfn.XLOOKUP($A32,BD!$A:$A,BD!$C:$C,"00:00")</f>
        <v>00:00</v>
      </c>
      <c r="E32" s="33" t="str">
        <f>_xlfn.XLOOKUP($A32,BD!A:A,BD!$D:$D,"00:00")</f>
        <v>00:00</v>
      </c>
      <c r="F32" s="66">
        <f t="shared" si="1"/>
        <v>0</v>
      </c>
      <c r="G32" s="37" t="str">
        <f>_xlfn.XLOOKUP($A32,BD!$A:$A,BD!$E:$E,"00:00")</f>
        <v>00:00</v>
      </c>
      <c r="H32" s="33" t="str">
        <f>_xlfn.XLOOKUP(A32,BD!$A:$A,BD!$F:$F,"00:00")</f>
        <v>00:00</v>
      </c>
      <c r="I32" s="58">
        <f t="shared" si="2"/>
        <v>0</v>
      </c>
      <c r="J32" s="40"/>
      <c r="K32" s="40">
        <f t="shared" si="3"/>
        <v>0</v>
      </c>
      <c r="L32" s="40">
        <f t="shared" si="10"/>
        <v>0</v>
      </c>
      <c r="M32" s="44">
        <f t="shared" si="4"/>
        <v>0</v>
      </c>
      <c r="N32" s="40"/>
      <c r="O32" s="32" t="str">
        <f>_xlfn.XLOOKUP($A32,BD!$A:$A,BD!$G:$G,"00:00")</f>
        <v>00:00</v>
      </c>
      <c r="P32" s="63" t="str">
        <f>_xlfn.XLOOKUP($A32,BD!$A:$A,BD!$H:$H,"00:00")</f>
        <v>00:00</v>
      </c>
      <c r="Q32" s="44">
        <f t="shared" si="11"/>
        <v>0</v>
      </c>
      <c r="R32" s="24">
        <f t="shared" si="12"/>
        <v>0</v>
      </c>
    </row>
    <row r="33" spans="1:18" x14ac:dyDescent="0.3">
      <c r="A33" s="23">
        <f>BD!A26</f>
        <v>0</v>
      </c>
      <c r="B33" s="27">
        <f>BD!B26</f>
        <v>0</v>
      </c>
      <c r="D33" s="32" t="str">
        <f>_xlfn.XLOOKUP($A33,BD!$A:$A,BD!$C:$C,"00:00")</f>
        <v>00:00</v>
      </c>
      <c r="E33" s="33" t="str">
        <f>_xlfn.XLOOKUP($A33,BD!A:A,BD!$D:$D,"00:00")</f>
        <v>00:00</v>
      </c>
      <c r="F33" s="66">
        <f t="shared" si="1"/>
        <v>0</v>
      </c>
      <c r="G33" s="37" t="str">
        <f>_xlfn.XLOOKUP($A33,BD!$A:$A,BD!$E:$E,"00:00")</f>
        <v>00:00</v>
      </c>
      <c r="H33" s="33" t="str">
        <f>_xlfn.XLOOKUP(A33,BD!$A:$A,BD!$F:$F,"00:00")</f>
        <v>00:00</v>
      </c>
      <c r="I33" s="58">
        <f t="shared" si="2"/>
        <v>0</v>
      </c>
      <c r="J33" s="40"/>
      <c r="K33" s="40">
        <f t="shared" si="3"/>
        <v>0</v>
      </c>
      <c r="L33" s="40">
        <f t="shared" si="10"/>
        <v>0</v>
      </c>
      <c r="M33" s="44">
        <f t="shared" si="4"/>
        <v>0</v>
      </c>
      <c r="N33" s="40"/>
      <c r="O33" s="32" t="str">
        <f>_xlfn.XLOOKUP($A33,BD!$A:$A,BD!$G:$G,"00:00")</f>
        <v>00:00</v>
      </c>
      <c r="P33" s="63" t="str">
        <f>_xlfn.XLOOKUP($A33,BD!$A:$A,BD!$H:$H,"00:00")</f>
        <v>00:00</v>
      </c>
      <c r="Q33" s="44">
        <f t="shared" si="11"/>
        <v>0</v>
      </c>
      <c r="R33" s="24">
        <f t="shared" si="12"/>
        <v>0</v>
      </c>
    </row>
    <row r="34" spans="1:18" x14ac:dyDescent="0.3">
      <c r="A34" s="23">
        <f>BD!A27</f>
        <v>0</v>
      </c>
      <c r="B34" s="27">
        <f>BD!B27</f>
        <v>0</v>
      </c>
      <c r="D34" s="32" t="str">
        <f>_xlfn.XLOOKUP($A34,BD!$A:$A,BD!$C:$C,"00:00")</f>
        <v>00:00</v>
      </c>
      <c r="E34" s="33" t="str">
        <f>_xlfn.XLOOKUP($A34,BD!A:A,BD!$D:$D,"00:00")</f>
        <v>00:00</v>
      </c>
      <c r="F34" s="66">
        <f t="shared" si="1"/>
        <v>0</v>
      </c>
      <c r="G34" s="37" t="str">
        <f>_xlfn.XLOOKUP($A34,BD!$A:$A,BD!$E:$E,"00:00")</f>
        <v>00:00</v>
      </c>
      <c r="H34" s="33" t="str">
        <f>_xlfn.XLOOKUP(A34,BD!$A:$A,BD!$F:$F,"00:00")</f>
        <v>00:00</v>
      </c>
      <c r="I34" s="58">
        <f t="shared" si="2"/>
        <v>0</v>
      </c>
      <c r="J34" s="40"/>
      <c r="K34" s="40">
        <f t="shared" si="3"/>
        <v>0</v>
      </c>
      <c r="L34" s="40">
        <f t="shared" si="10"/>
        <v>0</v>
      </c>
      <c r="M34" s="44">
        <f t="shared" si="4"/>
        <v>0</v>
      </c>
      <c r="N34" s="40"/>
      <c r="O34" s="32" t="str">
        <f>_xlfn.XLOOKUP($A34,BD!$A:$A,BD!$G:$G,"00:00")</f>
        <v>00:00</v>
      </c>
      <c r="P34" s="63" t="str">
        <f>_xlfn.XLOOKUP($A34,BD!$A:$A,BD!$H:$H,"00:00")</f>
        <v>00:00</v>
      </c>
      <c r="Q34" s="44">
        <f t="shared" si="11"/>
        <v>0</v>
      </c>
      <c r="R34" s="24">
        <f t="shared" si="12"/>
        <v>0</v>
      </c>
    </row>
    <row r="35" spans="1:18" x14ac:dyDescent="0.3">
      <c r="A35" s="23">
        <f>BD!A28</f>
        <v>0</v>
      </c>
      <c r="B35" s="27">
        <f>BD!B28</f>
        <v>0</v>
      </c>
      <c r="D35" s="32" t="str">
        <f>_xlfn.XLOOKUP($A35,BD!$A:$A,BD!$C:$C,"00:00")</f>
        <v>00:00</v>
      </c>
      <c r="E35" s="33" t="str">
        <f>_xlfn.XLOOKUP($A35,BD!A:A,BD!$D:$D,"00:00")</f>
        <v>00:00</v>
      </c>
      <c r="F35" s="66">
        <f t="shared" si="1"/>
        <v>0</v>
      </c>
      <c r="G35" s="37" t="str">
        <f>_xlfn.XLOOKUP($A35,BD!$A:$A,BD!$E:$E,"00:00")</f>
        <v>00:00</v>
      </c>
      <c r="H35" s="33" t="str">
        <f>_xlfn.XLOOKUP(A35,BD!$A:$A,BD!$F:$F,"00:00")</f>
        <v>00:00</v>
      </c>
      <c r="I35" s="58">
        <f t="shared" si="2"/>
        <v>0</v>
      </c>
      <c r="J35" s="40"/>
      <c r="K35" s="40">
        <f t="shared" si="3"/>
        <v>0</v>
      </c>
      <c r="L35" s="40">
        <f t="shared" si="10"/>
        <v>0</v>
      </c>
      <c r="M35" s="44">
        <f t="shared" si="4"/>
        <v>0</v>
      </c>
      <c r="N35" s="40"/>
      <c r="O35" s="32" t="str">
        <f>_xlfn.XLOOKUP($A35,BD!$A:$A,BD!$G:$G,"00:00")</f>
        <v>00:00</v>
      </c>
      <c r="P35" s="63" t="str">
        <f>_xlfn.XLOOKUP($A35,BD!$A:$A,BD!$H:$H,"00:00")</f>
        <v>00:00</v>
      </c>
      <c r="Q35" s="44">
        <f t="shared" si="11"/>
        <v>0</v>
      </c>
      <c r="R35" s="24">
        <f t="shared" si="12"/>
        <v>0</v>
      </c>
    </row>
    <row r="36" spans="1:18" x14ac:dyDescent="0.3">
      <c r="A36" s="23">
        <f>BD!A29</f>
        <v>0</v>
      </c>
      <c r="B36" s="27">
        <f>BD!B29</f>
        <v>0</v>
      </c>
      <c r="D36" s="32" t="str">
        <f>_xlfn.XLOOKUP($A36,BD!$A:$A,BD!$C:$C,"00:00")</f>
        <v>00:00</v>
      </c>
      <c r="E36" s="33" t="str">
        <f>_xlfn.XLOOKUP($A36,BD!A:A,BD!$D:$D,"00:00")</f>
        <v>00:00</v>
      </c>
      <c r="F36" s="66">
        <f t="shared" si="1"/>
        <v>0</v>
      </c>
      <c r="G36" s="37" t="str">
        <f>_xlfn.XLOOKUP($A36,BD!$A:$A,BD!$E:$E,"00:00")</f>
        <v>00:00</v>
      </c>
      <c r="H36" s="33" t="str">
        <f>_xlfn.XLOOKUP(A36,BD!$A:$A,BD!$F:$F,"00:00")</f>
        <v>00:00</v>
      </c>
      <c r="I36" s="58">
        <f t="shared" si="2"/>
        <v>0</v>
      </c>
      <c r="J36" s="40"/>
      <c r="K36" s="40">
        <f t="shared" si="3"/>
        <v>0</v>
      </c>
      <c r="L36" s="40">
        <f t="shared" si="10"/>
        <v>0</v>
      </c>
      <c r="M36" s="44">
        <f t="shared" si="4"/>
        <v>0</v>
      </c>
      <c r="N36" s="40"/>
      <c r="O36" s="32" t="str">
        <f>_xlfn.XLOOKUP($A36,BD!$A:$A,BD!$G:$G,"00:00")</f>
        <v>00:00</v>
      </c>
      <c r="P36" s="63" t="str">
        <f>_xlfn.XLOOKUP($A36,BD!$A:$A,BD!$H:$H,"00:00")</f>
        <v>00:00</v>
      </c>
      <c r="Q36" s="44">
        <f t="shared" ref="Q36:Q39" si="13">(P36-O36+(P36&lt;O36))</f>
        <v>0</v>
      </c>
      <c r="R36" s="24">
        <f t="shared" ref="R36:R39" si="14">IF(ISTEXT(O36),0,IF(AND(O36&gt;=P36,O36&lt;=hora_inicial,O36&lt;&gt;0,P36&lt;&gt;0),MOD(hora_final-hora_inicial,1)-IF(P36&lt;=hora_final,hora_final-P36)+IF(O36&lt;=hora_final,hora_final-O36),IF(AND(O36&gt;=P36,O36&gt;hora_inicial,O36&lt;&gt;0,P36&lt;&gt;0),MOD(hora_final-hora_inicial,1)-(O36-hora_inicial)+IF(P36&gt;=hora_inicial,P36-hora_inicial)-IF(P36&lt;hora_final,hora_final-P36),IF(AND(O36&lt;P36,ISNUMBER(O36),P36&lt;&gt;0),0+IF(AND(O36&lt;=hora_final,P36&lt;=hora_final),P36-O36)+IF(AND(O36&lt;=hora_final,P36&gt;hora_final),hora_final-O36)+IF(P36&gt;=hora_inicial,P36-O36-IF(O36&lt;=hora_inicial,hora_inicial-O36)),IF(AND(O36&lt;hora_inicial,P36&lt;hora_inicial,P36&lt;O36,ISNUMBER(O36),ISNUMBER(P36)),MOD(P36-hora_inicial,1),0)))))</f>
        <v>0</v>
      </c>
    </row>
    <row r="37" spans="1:18" x14ac:dyDescent="0.3">
      <c r="A37" s="23">
        <f>BD!A30</f>
        <v>0</v>
      </c>
      <c r="B37" s="27">
        <f>BD!B30</f>
        <v>0</v>
      </c>
      <c r="D37" s="32" t="str">
        <f>_xlfn.XLOOKUP($A37,BD!$A:$A,BD!$C:$C,"00:00")</f>
        <v>00:00</v>
      </c>
      <c r="E37" s="33" t="str">
        <f>_xlfn.XLOOKUP($A37,BD!A:A,BD!$D:$D,"00:00")</f>
        <v>00:00</v>
      </c>
      <c r="F37" s="66">
        <f t="shared" si="1"/>
        <v>0</v>
      </c>
      <c r="G37" s="37" t="str">
        <f>_xlfn.XLOOKUP($A37,BD!$A:$A,BD!$E:$E,"00:00")</f>
        <v>00:00</v>
      </c>
      <c r="H37" s="33" t="str">
        <f>_xlfn.XLOOKUP(A37,BD!$A:$A,BD!$F:$F,"00:00")</f>
        <v>00:00</v>
      </c>
      <c r="I37" s="58">
        <f t="shared" si="2"/>
        <v>0</v>
      </c>
      <c r="J37" s="40"/>
      <c r="K37" s="40">
        <f t="shared" si="3"/>
        <v>0</v>
      </c>
      <c r="L37" s="40">
        <f t="shared" si="10"/>
        <v>0</v>
      </c>
      <c r="M37" s="44">
        <f t="shared" si="4"/>
        <v>0</v>
      </c>
      <c r="N37" s="40"/>
      <c r="O37" s="32" t="str">
        <f>_xlfn.XLOOKUP($A37,BD!$A:$A,BD!$G:$G,"00:00")</f>
        <v>00:00</v>
      </c>
      <c r="P37" s="63" t="str">
        <f>_xlfn.XLOOKUP($A37,BD!$A:$A,BD!$H:$H,"00:00")</f>
        <v>00:00</v>
      </c>
      <c r="Q37" s="44">
        <f t="shared" si="13"/>
        <v>0</v>
      </c>
      <c r="R37" s="24">
        <f t="shared" si="14"/>
        <v>0</v>
      </c>
    </row>
    <row r="38" spans="1:18" x14ac:dyDescent="0.3">
      <c r="A38" s="23">
        <f>BD!A31</f>
        <v>0</v>
      </c>
      <c r="B38" s="27">
        <f>BD!B31</f>
        <v>0</v>
      </c>
      <c r="D38" s="32" t="str">
        <f>_xlfn.XLOOKUP($A38,BD!$A:$A,BD!$C:$C,"00:00")</f>
        <v>00:00</v>
      </c>
      <c r="E38" s="33" t="str">
        <f>_xlfn.XLOOKUP($A38,BD!A:A,BD!$D:$D,"00:00")</f>
        <v>00:00</v>
      </c>
      <c r="F38" s="66">
        <f t="shared" si="1"/>
        <v>0</v>
      </c>
      <c r="G38" s="37" t="str">
        <f>_xlfn.XLOOKUP($A38,BD!$A:$A,BD!$E:$E,"00:00")</f>
        <v>00:00</v>
      </c>
      <c r="H38" s="33" t="str">
        <f>_xlfn.XLOOKUP(A38,BD!$A:$A,BD!$F:$F,"00:00")</f>
        <v>00:00</v>
      </c>
      <c r="I38" s="58">
        <f t="shared" si="2"/>
        <v>0</v>
      </c>
      <c r="J38" s="40"/>
      <c r="K38" s="40">
        <f t="shared" si="3"/>
        <v>0</v>
      </c>
      <c r="L38" s="40">
        <f t="shared" si="10"/>
        <v>0</v>
      </c>
      <c r="M38" s="44">
        <f t="shared" si="4"/>
        <v>0</v>
      </c>
      <c r="N38" s="40"/>
      <c r="O38" s="32" t="str">
        <f>_xlfn.XLOOKUP($A38,BD!$A:$A,BD!$G:$G,"00:00")</f>
        <v>00:00</v>
      </c>
      <c r="P38" s="63" t="str">
        <f>_xlfn.XLOOKUP($A38,BD!$A:$A,BD!$H:$H,"00:00")</f>
        <v>00:00</v>
      </c>
      <c r="Q38" s="44">
        <f t="shared" si="13"/>
        <v>0</v>
      </c>
      <c r="R38" s="24">
        <f t="shared" si="14"/>
        <v>0</v>
      </c>
    </row>
    <row r="39" spans="1:18" ht="15" thickBot="1" x14ac:dyDescent="0.35">
      <c r="A39" s="70">
        <f>BD!A32</f>
        <v>0</v>
      </c>
      <c r="B39" s="71">
        <f>BD!B32</f>
        <v>0</v>
      </c>
      <c r="D39" s="34" t="str">
        <f>_xlfn.XLOOKUP($A39,BD!$A:$A,BD!$C:$C,"00:00")</f>
        <v>00:00</v>
      </c>
      <c r="E39" s="35" t="str">
        <f>_xlfn.XLOOKUP($A39,BD!A:A,BD!$D:$D,"00:00")</f>
        <v>00:00</v>
      </c>
      <c r="F39" s="67">
        <f t="shared" si="1"/>
        <v>0</v>
      </c>
      <c r="G39" s="61" t="str">
        <f>_xlfn.XLOOKUP($A39,BD!$A:$A,BD!$E:$E,"00:00")</f>
        <v>00:00</v>
      </c>
      <c r="H39" s="35" t="str">
        <f>_xlfn.XLOOKUP(A39,BD!$A:$A,BD!$F:$F,"00:00")</f>
        <v>00:00</v>
      </c>
      <c r="I39" s="60">
        <f t="shared" si="2"/>
        <v>0</v>
      </c>
      <c r="J39" s="41"/>
      <c r="K39" s="41">
        <f t="shared" si="3"/>
        <v>0</v>
      </c>
      <c r="L39" s="40">
        <f t="shared" si="10"/>
        <v>0</v>
      </c>
      <c r="M39" s="45">
        <f t="shared" si="4"/>
        <v>0</v>
      </c>
      <c r="N39" s="41"/>
      <c r="O39" s="34" t="str">
        <f>_xlfn.XLOOKUP($A39,BD!$A:$A,BD!$G:$G,"00:00")</f>
        <v>00:00</v>
      </c>
      <c r="P39" s="64" t="str">
        <f>_xlfn.XLOOKUP($A39,BD!$A:$A,BD!$H:$H,"00:00")</f>
        <v>00:00</v>
      </c>
      <c r="Q39" s="45">
        <f t="shared" si="13"/>
        <v>0</v>
      </c>
      <c r="R39" s="22">
        <f t="shared" si="14"/>
        <v>0</v>
      </c>
    </row>
    <row r="40" spans="1:18" ht="8.4" customHeight="1" thickBot="1" x14ac:dyDescent="0.35"/>
    <row r="41" spans="1:18" ht="15" thickBot="1" x14ac:dyDescent="0.35">
      <c r="A41" s="72" t="s">
        <v>20</v>
      </c>
      <c r="B41" s="73"/>
      <c r="C41" s="47"/>
      <c r="D41" s="48">
        <f t="shared" ref="D41:I41" si="15">SUM(D9:D39)</f>
        <v>0</v>
      </c>
      <c r="E41" s="49">
        <f t="shared" si="15"/>
        <v>0</v>
      </c>
      <c r="F41" s="50">
        <f t="shared" si="15"/>
        <v>0</v>
      </c>
      <c r="G41" s="51">
        <f t="shared" si="15"/>
        <v>0</v>
      </c>
      <c r="H41" s="52">
        <f t="shared" si="15"/>
        <v>0</v>
      </c>
      <c r="I41" s="52">
        <f t="shared" si="15"/>
        <v>0</v>
      </c>
      <c r="J41" s="53"/>
      <c r="K41" s="54">
        <f>SUM(K9:K39)</f>
        <v>0</v>
      </c>
      <c r="L41" s="56"/>
      <c r="M41" s="55">
        <f>SUM(M9:M39)</f>
        <v>0</v>
      </c>
      <c r="N41" s="47"/>
      <c r="O41" s="48">
        <f>SUM(O9:O39)</f>
        <v>0</v>
      </c>
      <c r="P41" s="49">
        <f>SUM(P9:P39)</f>
        <v>0</v>
      </c>
      <c r="Q41" s="49">
        <f>SUM(Q9:Q39)</f>
        <v>0</v>
      </c>
      <c r="R41" s="50">
        <f>SUM(R9:R39)</f>
        <v>0</v>
      </c>
    </row>
  </sheetData>
  <sheetProtection selectLockedCells="1"/>
  <mergeCells count="7">
    <mergeCell ref="A41:B41"/>
    <mergeCell ref="D7:E7"/>
    <mergeCell ref="G7:H7"/>
    <mergeCell ref="O7:Q7"/>
    <mergeCell ref="K7:K8"/>
    <mergeCell ref="M7:M8"/>
    <mergeCell ref="L7:L8"/>
  </mergeCells>
  <conditionalFormatting sqref="A9:B39">
    <cfRule type="expression" dxfId="4" priority="7">
      <formula>$B9="Dom"</formula>
    </cfRule>
  </conditionalFormatting>
  <conditionalFormatting sqref="D9:R39">
    <cfRule type="expression" dxfId="3" priority="6">
      <formula>$B9="Dom"</formula>
    </cfRule>
  </conditionalFormatting>
  <conditionalFormatting sqref="M9:M39">
    <cfRule type="expression" dxfId="2" priority="3">
      <formula>$M9&gt;0</formula>
    </cfRule>
  </conditionalFormatting>
  <conditionalFormatting sqref="Q9:Q39">
    <cfRule type="expression" dxfId="1" priority="5">
      <formula>$Q9&gt;0</formula>
    </cfRule>
  </conditionalFormatting>
  <conditionalFormatting sqref="R9:R39">
    <cfRule type="expression" dxfId="0" priority="4">
      <formula>$R9&gt;0</formula>
    </cfRule>
  </conditionalFormatting>
  <pageMargins left="0.511811024" right="0.511811024" top="0.78740157499999996" bottom="0.78740157499999996" header="0.31496062000000002" footer="0.31496062000000002"/>
  <pageSetup paperSize="9" scale="70" orientation="landscape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BD</vt:lpstr>
      <vt:lpstr>CALC ADIC Noturno</vt:lpstr>
      <vt:lpstr>hora_final</vt:lpstr>
      <vt:lpstr>hora_inicial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 Rieper</dc:creator>
  <cp:lastModifiedBy>MABIT CONTABILIDADE</cp:lastModifiedBy>
  <cp:lastPrinted>2024-09-26T21:29:25Z</cp:lastPrinted>
  <dcterms:created xsi:type="dcterms:W3CDTF">2023-10-05T13:25:06Z</dcterms:created>
  <dcterms:modified xsi:type="dcterms:W3CDTF">2024-09-30T11:08:05Z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2023-10-05T13:30:09Z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62eb9c43-9588-45e6-8ba5-2d1df5d02898</vt:lpwstr>
  </property>
  <property fmtid="{D5CDD505-2E9C-101B-9397-08002B2CF9AE}" pid="7" name="MSIP_Label_defa4170-0d19-0005-0004-bc88714345d2_ActionId">
    <vt:lpwstr>a579ca70-8103-419e-b358-5e3edae48f7b</vt:lpwstr>
  </property>
  <property fmtid="{D5CDD505-2E9C-101B-9397-08002B2CF9AE}" pid="8" name="MSIP_Label_defa4170-0d19-0005-0004-bc88714345d2_ContentBits">
    <vt:lpwstr>0</vt:lpwstr>
  </property>
</Properties>
</file>